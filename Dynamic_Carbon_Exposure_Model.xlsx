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avertim-my.sharepoint.com/personal/paulian_oprescu_avertim_be/Documents/DynamicModel/"/>
    </mc:Choice>
  </mc:AlternateContent>
  <xr:revisionPtr revIDLastSave="37" documentId="11_450F275CFC5F37A45C7A80D254B48C5B7D3B3BD4" xr6:coauthVersionLast="47" xr6:coauthVersionMax="47" xr10:uidLastSave="{E0C0A33E-8876-467B-9361-23172C3EAEEA}"/>
  <bookViews>
    <workbookView xWindow="-110" yWindow="-110" windowWidth="19420" windowHeight="10300" firstSheet="2" activeTab="4" xr2:uid="{00000000-000D-0000-FFFF-FFFF00000000}"/>
  </bookViews>
  <sheets>
    <sheet name="Cover" sheetId="1" r:id="rId1"/>
    <sheet name="MC_SIM_OUT" sheetId="2" r:id="rId2"/>
    <sheet name="Assumptions" sheetId="3" r:id="rId3"/>
    <sheet name="ControlPanel" sheetId="4" r:id="rId4"/>
    <sheet name="Carbon_Emission&amp;Exposure" sheetId="5" r:id="rId5"/>
    <sheet name="DCF" sheetId="6" r:id="rId6"/>
    <sheet name="NPV_Output" sheetId="7" r:id="rId7"/>
    <sheet name="DataSources" sheetId="8" r:id="rId8"/>
    <sheet name="EUA_Historical_Prices" sheetId="9" r:id="rId9"/>
  </sheets>
  <definedNames>
    <definedName name="tbl_MC">MC_SIM_OUT!$A$1:$E$31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" i="8" l="1"/>
  <c r="L13" i="8"/>
  <c r="K13" i="8"/>
  <c r="J13" i="8"/>
  <c r="M12" i="8"/>
  <c r="L12" i="8"/>
  <c r="K12" i="8"/>
  <c r="J12" i="8"/>
  <c r="M11" i="8"/>
  <c r="L11" i="8"/>
  <c r="K11" i="8"/>
  <c r="J11" i="8"/>
  <c r="M10" i="8"/>
  <c r="L10" i="8"/>
  <c r="K10" i="8"/>
  <c r="J10" i="8"/>
  <c r="M9" i="8"/>
  <c r="L9" i="8"/>
  <c r="K9" i="8"/>
  <c r="J9" i="8"/>
  <c r="M8" i="8"/>
  <c r="L8" i="8"/>
  <c r="K8" i="8"/>
  <c r="J8" i="8"/>
  <c r="M7" i="8"/>
  <c r="L7" i="8"/>
  <c r="K7" i="8"/>
  <c r="J7" i="8"/>
  <c r="E8" i="7"/>
  <c r="F8" i="7" s="1"/>
  <c r="G8" i="7" s="1"/>
  <c r="H8" i="7" s="1"/>
  <c r="I8" i="7" s="1"/>
  <c r="J8" i="7" s="1"/>
  <c r="K8" i="7" s="1"/>
  <c r="L8" i="7" s="1"/>
  <c r="D8" i="7"/>
  <c r="C6" i="7"/>
  <c r="C5" i="7"/>
  <c r="O38" i="6"/>
  <c r="X38" i="6" s="1"/>
  <c r="N38" i="6"/>
  <c r="M38" i="6"/>
  <c r="K38" i="6"/>
  <c r="I38" i="6"/>
  <c r="F38" i="6"/>
  <c r="N37" i="6"/>
  <c r="M37" i="6"/>
  <c r="I37" i="6"/>
  <c r="K37" i="6" s="1"/>
  <c r="F37" i="6"/>
  <c r="O37" i="6" s="1"/>
  <c r="N36" i="6"/>
  <c r="M36" i="6"/>
  <c r="O36" i="6" s="1"/>
  <c r="I36" i="6"/>
  <c r="K36" i="6" s="1"/>
  <c r="F36" i="6"/>
  <c r="O35" i="6"/>
  <c r="X35" i="6" s="1"/>
  <c r="N35" i="6"/>
  <c r="M35" i="6"/>
  <c r="K35" i="6"/>
  <c r="I35" i="6"/>
  <c r="F35" i="6"/>
  <c r="N34" i="6"/>
  <c r="M34" i="6"/>
  <c r="I34" i="6"/>
  <c r="K34" i="6" s="1"/>
  <c r="F34" i="6"/>
  <c r="O34" i="6" s="1"/>
  <c r="N33" i="6"/>
  <c r="M33" i="6"/>
  <c r="O33" i="6" s="1"/>
  <c r="I33" i="6"/>
  <c r="K33" i="6" s="1"/>
  <c r="F33" i="6"/>
  <c r="AA32" i="6"/>
  <c r="Z32" i="6"/>
  <c r="Y32" i="6"/>
  <c r="X32" i="6"/>
  <c r="W32" i="6"/>
  <c r="V32" i="6"/>
  <c r="U32" i="6"/>
  <c r="T32" i="6"/>
  <c r="S32" i="6"/>
  <c r="R32" i="6"/>
  <c r="N29" i="6"/>
  <c r="M29" i="6"/>
  <c r="O29" i="6" s="1"/>
  <c r="I29" i="6"/>
  <c r="K29" i="6" s="1"/>
  <c r="F29" i="6"/>
  <c r="N28" i="6"/>
  <c r="M28" i="6"/>
  <c r="K28" i="6"/>
  <c r="I28" i="6"/>
  <c r="F28" i="6"/>
  <c r="O28" i="6" s="1"/>
  <c r="Z28" i="6" s="1"/>
  <c r="AA27" i="6"/>
  <c r="Y27" i="6"/>
  <c r="W27" i="6"/>
  <c r="R27" i="6"/>
  <c r="N27" i="6"/>
  <c r="M27" i="6"/>
  <c r="O27" i="6" s="1"/>
  <c r="I27" i="6"/>
  <c r="K27" i="6" s="1"/>
  <c r="F27" i="6"/>
  <c r="N26" i="6"/>
  <c r="M26" i="6"/>
  <c r="O26" i="6" s="1"/>
  <c r="I26" i="6"/>
  <c r="K26" i="6" s="1"/>
  <c r="F26" i="6"/>
  <c r="N25" i="6"/>
  <c r="M25" i="6"/>
  <c r="K25" i="6"/>
  <c r="I25" i="6"/>
  <c r="F25" i="6"/>
  <c r="O25" i="6" s="1"/>
  <c r="N24" i="6"/>
  <c r="M24" i="6"/>
  <c r="I24" i="6"/>
  <c r="K24" i="6" s="1"/>
  <c r="F24" i="6"/>
  <c r="AA22" i="6"/>
  <c r="Z22" i="6"/>
  <c r="Y22" i="6"/>
  <c r="X22" i="6"/>
  <c r="W22" i="6"/>
  <c r="V22" i="6"/>
  <c r="U22" i="6"/>
  <c r="T22" i="6"/>
  <c r="S22" i="6"/>
  <c r="R22" i="6"/>
  <c r="N18" i="6"/>
  <c r="M18" i="6"/>
  <c r="O18" i="6" s="1"/>
  <c r="I18" i="6"/>
  <c r="K18" i="6" s="1"/>
  <c r="F18" i="6"/>
  <c r="N17" i="6"/>
  <c r="M17" i="6"/>
  <c r="K17" i="6"/>
  <c r="I17" i="6"/>
  <c r="F17" i="6"/>
  <c r="O17" i="6" s="1"/>
  <c r="N16" i="6"/>
  <c r="M16" i="6"/>
  <c r="I16" i="6"/>
  <c r="K16" i="6" s="1"/>
  <c r="F16" i="6"/>
  <c r="N15" i="6"/>
  <c r="M15" i="6"/>
  <c r="O15" i="6" s="1"/>
  <c r="I15" i="6"/>
  <c r="K15" i="6" s="1"/>
  <c r="F15" i="6"/>
  <c r="N14" i="6"/>
  <c r="M14" i="6"/>
  <c r="K14" i="6"/>
  <c r="I14" i="6"/>
  <c r="F14" i="6"/>
  <c r="O14" i="6" s="1"/>
  <c r="N13" i="6"/>
  <c r="M13" i="6"/>
  <c r="I13" i="6"/>
  <c r="K13" i="6" s="1"/>
  <c r="F13" i="6"/>
  <c r="N12" i="6"/>
  <c r="M12" i="6"/>
  <c r="O12" i="6" s="1"/>
  <c r="I12" i="6"/>
  <c r="K12" i="6" s="1"/>
  <c r="F12" i="6"/>
  <c r="N11" i="6"/>
  <c r="M11" i="6"/>
  <c r="K11" i="6"/>
  <c r="I11" i="6"/>
  <c r="F11" i="6"/>
  <c r="O11" i="6" s="1"/>
  <c r="N10" i="6"/>
  <c r="M10" i="6"/>
  <c r="I10" i="6"/>
  <c r="K10" i="6" s="1"/>
  <c r="F10" i="6"/>
  <c r="N9" i="6"/>
  <c r="M9" i="6"/>
  <c r="O9" i="6" s="1"/>
  <c r="I9" i="6"/>
  <c r="K9" i="6" s="1"/>
  <c r="F9" i="6"/>
  <c r="U5" i="6"/>
  <c r="V5" i="6" s="1"/>
  <c r="W5" i="6" s="1"/>
  <c r="X5" i="6" s="1"/>
  <c r="Y5" i="6" s="1"/>
  <c r="Z5" i="6" s="1"/>
  <c r="AA5" i="6" s="1"/>
  <c r="S5" i="6"/>
  <c r="T5" i="6" s="1"/>
  <c r="E38" i="5"/>
  <c r="E37" i="5"/>
  <c r="E36" i="5"/>
  <c r="E35" i="5"/>
  <c r="E34" i="5"/>
  <c r="E33" i="5"/>
  <c r="E29" i="5"/>
  <c r="E28" i="5"/>
  <c r="E27" i="5"/>
  <c r="E26" i="5"/>
  <c r="E25" i="5"/>
  <c r="E24" i="5"/>
  <c r="E18" i="5"/>
  <c r="E17" i="5"/>
  <c r="E16" i="5"/>
  <c r="E15" i="5"/>
  <c r="E14" i="5"/>
  <c r="E13" i="5"/>
  <c r="E12" i="5"/>
  <c r="E11" i="5"/>
  <c r="E10" i="5"/>
  <c r="E9" i="5"/>
  <c r="H5" i="5"/>
  <c r="I5" i="5" s="1"/>
  <c r="J5" i="5" s="1"/>
  <c r="K5" i="5" s="1"/>
  <c r="L5" i="5" s="1"/>
  <c r="M5" i="5" s="1"/>
  <c r="N5" i="5" s="1"/>
  <c r="O5" i="5" s="1"/>
  <c r="P5" i="5" s="1"/>
  <c r="C10" i="4" a="1"/>
  <c r="C14" i="4" s="1"/>
  <c r="B10" i="4" a="1"/>
  <c r="B13" i="4" s="1"/>
  <c r="I27" i="3"/>
  <c r="I26" i="3"/>
  <c r="I25" i="3"/>
  <c r="M24" i="3"/>
  <c r="K24" i="3"/>
  <c r="D34" i="5" s="1"/>
  <c r="I24" i="3"/>
  <c r="I20" i="3"/>
  <c r="I19" i="3"/>
  <c r="M18" i="3"/>
  <c r="K18" i="3"/>
  <c r="D27" i="5" s="1"/>
  <c r="I18" i="3"/>
  <c r="I15" i="3"/>
  <c r="I14" i="3"/>
  <c r="I13" i="3"/>
  <c r="M12" i="3"/>
  <c r="K12" i="3"/>
  <c r="D10" i="5" s="1"/>
  <c r="I12" i="3"/>
  <c r="W14" i="6" l="1"/>
  <c r="V14" i="6"/>
  <c r="T14" i="6"/>
  <c r="R14" i="6"/>
  <c r="AA14" i="6"/>
  <c r="Z14" i="6"/>
  <c r="Y14" i="6"/>
  <c r="U14" i="6"/>
  <c r="S14" i="6"/>
  <c r="X14" i="6"/>
  <c r="U29" i="6"/>
  <c r="T29" i="6"/>
  <c r="R29" i="6"/>
  <c r="Z29" i="6"/>
  <c r="Y29" i="6"/>
  <c r="X29" i="6"/>
  <c r="W29" i="6"/>
  <c r="AA29" i="6"/>
  <c r="V29" i="6"/>
  <c r="S29" i="6"/>
  <c r="S9" i="6"/>
  <c r="R9" i="6"/>
  <c r="Z9" i="6"/>
  <c r="X9" i="6"/>
  <c r="W9" i="6"/>
  <c r="U9" i="6"/>
  <c r="AA9" i="6"/>
  <c r="Y9" i="6"/>
  <c r="V9" i="6"/>
  <c r="T9" i="6"/>
  <c r="S12" i="6"/>
  <c r="R12" i="6"/>
  <c r="Z12" i="6"/>
  <c r="X12" i="6"/>
  <c r="W12" i="6"/>
  <c r="V12" i="6"/>
  <c r="U12" i="6"/>
  <c r="AA12" i="6"/>
  <c r="Y12" i="6"/>
  <c r="T12" i="6"/>
  <c r="I27" i="5"/>
  <c r="H27" i="5"/>
  <c r="P27" i="5"/>
  <c r="N27" i="5"/>
  <c r="M27" i="5"/>
  <c r="K27" i="5"/>
  <c r="O27" i="5"/>
  <c r="L27" i="5"/>
  <c r="G27" i="5"/>
  <c r="J27" i="5"/>
  <c r="I34" i="5"/>
  <c r="H34" i="5"/>
  <c r="P34" i="5"/>
  <c r="N34" i="5"/>
  <c r="M34" i="5"/>
  <c r="K34" i="5"/>
  <c r="G34" i="5"/>
  <c r="O34" i="5"/>
  <c r="L34" i="5"/>
  <c r="J34" i="5"/>
  <c r="U26" i="6"/>
  <c r="T26" i="6"/>
  <c r="R26" i="6"/>
  <c r="Z26" i="6"/>
  <c r="Y26" i="6"/>
  <c r="X26" i="6"/>
  <c r="W26" i="6"/>
  <c r="AA26" i="6"/>
  <c r="V26" i="6"/>
  <c r="S26" i="6"/>
  <c r="S18" i="6"/>
  <c r="R18" i="6"/>
  <c r="Z18" i="6"/>
  <c r="X18" i="6"/>
  <c r="W18" i="6"/>
  <c r="V18" i="6"/>
  <c r="U18" i="6"/>
  <c r="AA18" i="6"/>
  <c r="Y18" i="6"/>
  <c r="T18" i="6"/>
  <c r="W17" i="6"/>
  <c r="V17" i="6"/>
  <c r="T17" i="6"/>
  <c r="R17" i="6"/>
  <c r="AA17" i="6"/>
  <c r="Z17" i="6"/>
  <c r="Y17" i="6"/>
  <c r="U17" i="6"/>
  <c r="S17" i="6"/>
  <c r="X17" i="6"/>
  <c r="S33" i="6"/>
  <c r="R33" i="6"/>
  <c r="Z33" i="6"/>
  <c r="X33" i="6"/>
  <c r="W33" i="6"/>
  <c r="V33" i="6"/>
  <c r="U33" i="6"/>
  <c r="AA33" i="6"/>
  <c r="Y33" i="6"/>
  <c r="T33" i="6"/>
  <c r="S15" i="6"/>
  <c r="R15" i="6"/>
  <c r="Z15" i="6"/>
  <c r="X15" i="6"/>
  <c r="W15" i="6"/>
  <c r="V15" i="6"/>
  <c r="U15" i="6"/>
  <c r="AA15" i="6"/>
  <c r="Y15" i="6"/>
  <c r="T15" i="6"/>
  <c r="I10" i="5"/>
  <c r="N10" i="5"/>
  <c r="M10" i="5"/>
  <c r="I13" i="7" s="1" a="1"/>
  <c r="I13" i="7" s="1"/>
  <c r="K10" i="5"/>
  <c r="H10" i="5"/>
  <c r="G10" i="5"/>
  <c r="P10" i="5"/>
  <c r="L10" i="5"/>
  <c r="O10" i="5"/>
  <c r="J10" i="5"/>
  <c r="S36" i="6"/>
  <c r="R36" i="6"/>
  <c r="Z36" i="6"/>
  <c r="X36" i="6"/>
  <c r="W36" i="6"/>
  <c r="V36" i="6"/>
  <c r="U36" i="6"/>
  <c r="AA36" i="6"/>
  <c r="Y36" i="6"/>
  <c r="T36" i="6"/>
  <c r="W11" i="6"/>
  <c r="V11" i="6"/>
  <c r="T11" i="6"/>
  <c r="R11" i="6"/>
  <c r="AA11" i="6"/>
  <c r="Z11" i="6"/>
  <c r="Y11" i="6"/>
  <c r="U11" i="6"/>
  <c r="S11" i="6"/>
  <c r="X11" i="6"/>
  <c r="C10" i="4"/>
  <c r="D29" i="5"/>
  <c r="C12" i="4"/>
  <c r="AA37" i="6"/>
  <c r="Z37" i="6"/>
  <c r="X37" i="6"/>
  <c r="V37" i="6"/>
  <c r="T37" i="6"/>
  <c r="S37" i="6"/>
  <c r="R37" i="6"/>
  <c r="B11" i="4"/>
  <c r="Y28" i="6"/>
  <c r="X28" i="6"/>
  <c r="V28" i="6"/>
  <c r="T28" i="6"/>
  <c r="R28" i="6"/>
  <c r="AA28" i="6"/>
  <c r="S35" i="6"/>
  <c r="S38" i="6"/>
  <c r="D14" i="5"/>
  <c r="D25" i="5"/>
  <c r="D38" i="5"/>
  <c r="C11" i="4"/>
  <c r="AA34" i="6"/>
  <c r="Z34" i="6"/>
  <c r="X34" i="6"/>
  <c r="V34" i="6"/>
  <c r="T34" i="6"/>
  <c r="S34" i="6"/>
  <c r="R34" i="6"/>
  <c r="C13" i="4"/>
  <c r="B12" i="4"/>
  <c r="C15" i="4"/>
  <c r="U35" i="6"/>
  <c r="U38" i="6"/>
  <c r="B14" i="4"/>
  <c r="C16" i="4"/>
  <c r="D36" i="5"/>
  <c r="Y25" i="6"/>
  <c r="X25" i="6"/>
  <c r="V25" i="6"/>
  <c r="T25" i="6"/>
  <c r="R25" i="6"/>
  <c r="AA25" i="6"/>
  <c r="W35" i="6"/>
  <c r="V35" i="6"/>
  <c r="T35" i="6"/>
  <c r="R35" i="6"/>
  <c r="AA35" i="6"/>
  <c r="Z35" i="6"/>
  <c r="Y35" i="6"/>
  <c r="B15" i="4"/>
  <c r="C17" i="4"/>
  <c r="D11" i="5"/>
  <c r="D13" i="5"/>
  <c r="D15" i="5"/>
  <c r="D17" i="5"/>
  <c r="D24" i="5"/>
  <c r="D26" i="5"/>
  <c r="D28" i="5"/>
  <c r="D33" i="5"/>
  <c r="D35" i="5"/>
  <c r="D37" i="5"/>
  <c r="U34" i="6"/>
  <c r="U37" i="6"/>
  <c r="D12" i="5"/>
  <c r="D18" i="5"/>
  <c r="C18" i="4"/>
  <c r="O10" i="6"/>
  <c r="S25" i="6"/>
  <c r="W34" i="6"/>
  <c r="W37" i="6"/>
  <c r="D16" i="5"/>
  <c r="B10" i="4"/>
  <c r="D9" i="5"/>
  <c r="W38" i="6"/>
  <c r="V38" i="6"/>
  <c r="T38" i="6"/>
  <c r="R38" i="6"/>
  <c r="AA38" i="6"/>
  <c r="Z38" i="6"/>
  <c r="Y38" i="6"/>
  <c r="B16" i="4"/>
  <c r="O13" i="6"/>
  <c r="O16" i="6"/>
  <c r="O24" i="6"/>
  <c r="U25" i="6"/>
  <c r="S28" i="6"/>
  <c r="Y34" i="6"/>
  <c r="Y37" i="6"/>
  <c r="B17" i="4"/>
  <c r="C19" i="4"/>
  <c r="W25" i="6"/>
  <c r="Z27" i="6"/>
  <c r="X27" i="6"/>
  <c r="V27" i="6"/>
  <c r="U27" i="6"/>
  <c r="T27" i="6"/>
  <c r="S27" i="6"/>
  <c r="U28" i="6"/>
  <c r="B18" i="4"/>
  <c r="B19" i="4"/>
  <c r="Z25" i="6"/>
  <c r="W28" i="6"/>
  <c r="F30" i="7" l="1" a="1"/>
  <c r="F30" i="7" s="1"/>
  <c r="G30" i="7" a="1"/>
  <c r="G30" i="7" s="1"/>
  <c r="J30" i="7" a="1"/>
  <c r="J30" i="7" s="1"/>
  <c r="L37" i="7" a="1"/>
  <c r="L37" i="7" s="1"/>
  <c r="E30" i="7" a="1"/>
  <c r="E30" i="7" s="1"/>
  <c r="J13" i="7" a="1"/>
  <c r="J13" i="7" s="1"/>
  <c r="D37" i="7" a="1"/>
  <c r="D37" i="7" s="1"/>
  <c r="E37" i="7" a="1"/>
  <c r="E37" i="7" s="1"/>
  <c r="H30" i="7" a="1"/>
  <c r="H30" i="7" s="1"/>
  <c r="I15" i="5"/>
  <c r="E18" i="7" s="1" a="1"/>
  <c r="E18" i="7" s="1"/>
  <c r="H15" i="5"/>
  <c r="D18" i="7" s="1" a="1"/>
  <c r="D18" i="7" s="1"/>
  <c r="P15" i="5"/>
  <c r="L18" i="7" s="1" a="1"/>
  <c r="L18" i="7" s="1"/>
  <c r="N15" i="5"/>
  <c r="J18" i="7" s="1" a="1"/>
  <c r="J18" i="7" s="1"/>
  <c r="M15" i="5"/>
  <c r="I18" i="7" s="1" a="1"/>
  <c r="I18" i="7" s="1"/>
  <c r="K15" i="5"/>
  <c r="G18" i="7" s="1" a="1"/>
  <c r="G18" i="7" s="1"/>
  <c r="L15" i="5"/>
  <c r="H18" i="7" s="1" a="1"/>
  <c r="H18" i="7" s="1"/>
  <c r="J15" i="5"/>
  <c r="F18" i="7" s="1" a="1"/>
  <c r="F18" i="7" s="1"/>
  <c r="G15" i="5"/>
  <c r="C18" i="7" s="1" a="1"/>
  <c r="C18" i="7" s="1"/>
  <c r="O15" i="5"/>
  <c r="K18" i="7" s="1" a="1"/>
  <c r="K18" i="7" s="1"/>
  <c r="I12" i="5"/>
  <c r="E15" i="7" s="1" a="1"/>
  <c r="E15" i="7" s="1"/>
  <c r="H12" i="5"/>
  <c r="D15" i="7" s="1" a="1"/>
  <c r="D15" i="7" s="1"/>
  <c r="P12" i="5"/>
  <c r="L15" i="7" s="1" a="1"/>
  <c r="L15" i="7" s="1"/>
  <c r="N12" i="5"/>
  <c r="J15" i="7" s="1" a="1"/>
  <c r="J15" i="7" s="1"/>
  <c r="M12" i="5"/>
  <c r="I15" i="7" s="1" a="1"/>
  <c r="I15" i="7" s="1"/>
  <c r="K12" i="5"/>
  <c r="G15" i="7" s="1" a="1"/>
  <c r="G15" i="7" s="1"/>
  <c r="O12" i="5"/>
  <c r="K15" i="7" s="1" a="1"/>
  <c r="K15" i="7" s="1"/>
  <c r="L12" i="5"/>
  <c r="H15" i="7" s="1" a="1"/>
  <c r="H15" i="7" s="1"/>
  <c r="J12" i="5"/>
  <c r="F15" i="7" s="1" a="1"/>
  <c r="F15" i="7" s="1"/>
  <c r="G12" i="5"/>
  <c r="C15" i="7" s="1" a="1"/>
  <c r="C15" i="7" s="1"/>
  <c r="I11" i="5"/>
  <c r="E14" i="7" s="1" a="1"/>
  <c r="E14" i="7" s="1"/>
  <c r="H11" i="5"/>
  <c r="D14" i="7" s="1" a="1"/>
  <c r="D14" i="7" s="1"/>
  <c r="P11" i="5"/>
  <c r="L14" i="7" s="1" a="1"/>
  <c r="L14" i="7" s="1"/>
  <c r="N11" i="5"/>
  <c r="J14" i="7" s="1" a="1"/>
  <c r="J14" i="7" s="1"/>
  <c r="M11" i="5"/>
  <c r="I14" i="7" s="1" a="1"/>
  <c r="I14" i="7" s="1"/>
  <c r="K11" i="5"/>
  <c r="G14" i="7" s="1" a="1"/>
  <c r="G14" i="7" s="1"/>
  <c r="L11" i="5"/>
  <c r="H14" i="7" s="1" a="1"/>
  <c r="H14" i="7" s="1"/>
  <c r="J11" i="5"/>
  <c r="F14" i="7" s="1" a="1"/>
  <c r="F14" i="7" s="1"/>
  <c r="G11" i="5"/>
  <c r="C14" i="7" s="1" a="1"/>
  <c r="C14" i="7" s="1"/>
  <c r="O11" i="5"/>
  <c r="K14" i="7" s="1" a="1"/>
  <c r="K14" i="7" s="1"/>
  <c r="F13" i="7" a="1"/>
  <c r="F13" i="7" s="1"/>
  <c r="F37" i="7" a="1"/>
  <c r="F37" i="7" s="1"/>
  <c r="I9" i="5"/>
  <c r="E12" i="7" s="1" a="1"/>
  <c r="E12" i="7" s="1"/>
  <c r="N9" i="5"/>
  <c r="J12" i="7" s="1" a="1"/>
  <c r="J12" i="7" s="1"/>
  <c r="M9" i="5"/>
  <c r="I12" i="7" s="1" a="1"/>
  <c r="I12" i="7" s="1"/>
  <c r="K9" i="5"/>
  <c r="G12" i="7" s="1" a="1"/>
  <c r="G12" i="7" s="1"/>
  <c r="P9" i="5"/>
  <c r="L12" i="7" s="1" a="1"/>
  <c r="L12" i="7" s="1"/>
  <c r="O9" i="5"/>
  <c r="K12" i="7" s="1" a="1"/>
  <c r="K12" i="7" s="1"/>
  <c r="L9" i="5"/>
  <c r="H12" i="7" s="1" a="1"/>
  <c r="H12" i="7" s="1"/>
  <c r="J9" i="5"/>
  <c r="F12" i="7" s="1" a="1"/>
  <c r="F12" i="7" s="1"/>
  <c r="H9" i="5"/>
  <c r="D12" i="7" s="1" a="1"/>
  <c r="D12" i="7" s="1"/>
  <c r="G9" i="5"/>
  <c r="C12" i="7" s="1" a="1"/>
  <c r="C12" i="7" s="1"/>
  <c r="I37" i="5"/>
  <c r="E40" i="7" s="1" a="1"/>
  <c r="E40" i="7" s="1"/>
  <c r="H37" i="5"/>
  <c r="D40" i="7" s="1" a="1"/>
  <c r="D40" i="7" s="1"/>
  <c r="P37" i="5"/>
  <c r="L40" i="7" s="1" a="1"/>
  <c r="L40" i="7" s="1"/>
  <c r="N37" i="5"/>
  <c r="J40" i="7" s="1" a="1"/>
  <c r="J40" i="7" s="1"/>
  <c r="M37" i="5"/>
  <c r="I40" i="7" s="1" a="1"/>
  <c r="I40" i="7" s="1"/>
  <c r="K37" i="5"/>
  <c r="G40" i="7" s="1" a="1"/>
  <c r="G40" i="7" s="1"/>
  <c r="L37" i="5"/>
  <c r="H40" i="7" s="1" a="1"/>
  <c r="H40" i="7" s="1"/>
  <c r="J37" i="5"/>
  <c r="F40" i="7" s="1" a="1"/>
  <c r="F40" i="7" s="1"/>
  <c r="G37" i="5"/>
  <c r="C40" i="7" s="1" a="1"/>
  <c r="C40" i="7" s="1"/>
  <c r="O37" i="5"/>
  <c r="K40" i="7" s="1" a="1"/>
  <c r="K40" i="7" s="1"/>
  <c r="K13" i="7" a="1"/>
  <c r="K13" i="7" s="1"/>
  <c r="H37" i="7" a="1"/>
  <c r="H37" i="7" s="1"/>
  <c r="K30" i="7" a="1"/>
  <c r="K30" i="7" s="1"/>
  <c r="I18" i="5"/>
  <c r="E21" i="7" s="1" a="1"/>
  <c r="E21" i="7" s="1"/>
  <c r="H18" i="5"/>
  <c r="D21" i="7" s="1" a="1"/>
  <c r="D21" i="7" s="1"/>
  <c r="P18" i="5"/>
  <c r="L21" i="7" s="1" a="1"/>
  <c r="L21" i="7" s="1"/>
  <c r="N18" i="5"/>
  <c r="J21" i="7" s="1" a="1"/>
  <c r="J21" i="7" s="1"/>
  <c r="M18" i="5"/>
  <c r="I21" i="7" s="1" a="1"/>
  <c r="I21" i="7" s="1"/>
  <c r="K18" i="5"/>
  <c r="G21" i="7" s="1" a="1"/>
  <c r="G21" i="7" s="1"/>
  <c r="O18" i="5"/>
  <c r="K21" i="7" s="1" a="1"/>
  <c r="K21" i="7" s="1"/>
  <c r="L18" i="5"/>
  <c r="H21" i="7" s="1" a="1"/>
  <c r="H21" i="7" s="1"/>
  <c r="J18" i="5"/>
  <c r="F21" i="7" s="1" a="1"/>
  <c r="F21" i="7" s="1"/>
  <c r="G18" i="5"/>
  <c r="C21" i="7" s="1" a="1"/>
  <c r="C21" i="7" s="1"/>
  <c r="H13" i="7" a="1"/>
  <c r="H13" i="7" s="1"/>
  <c r="AA16" i="6"/>
  <c r="Z16" i="6"/>
  <c r="X16" i="6"/>
  <c r="V16" i="6"/>
  <c r="T16" i="6"/>
  <c r="S16" i="6"/>
  <c r="R16" i="6"/>
  <c r="W16" i="6"/>
  <c r="U16" i="6"/>
  <c r="Y16" i="6"/>
  <c r="I16" i="5"/>
  <c r="E19" i="7" s="1" a="1"/>
  <c r="E19" i="7" s="1"/>
  <c r="H16" i="5"/>
  <c r="D19" i="7" s="1" a="1"/>
  <c r="D19" i="7" s="1"/>
  <c r="P16" i="5"/>
  <c r="L19" i="7" s="1" a="1"/>
  <c r="L19" i="7" s="1"/>
  <c r="N16" i="5"/>
  <c r="J19" i="7" s="1" a="1"/>
  <c r="J19" i="7" s="1"/>
  <c r="M16" i="5"/>
  <c r="I19" i="7" s="1" a="1"/>
  <c r="I19" i="7" s="1"/>
  <c r="K16" i="5"/>
  <c r="G19" i="7" s="1" a="1"/>
  <c r="G19" i="7" s="1"/>
  <c r="O16" i="5"/>
  <c r="K19" i="7" s="1" a="1"/>
  <c r="K19" i="7" s="1"/>
  <c r="L16" i="5"/>
  <c r="H19" i="7" s="1" a="1"/>
  <c r="H19" i="7" s="1"/>
  <c r="J16" i="5"/>
  <c r="F19" i="7" s="1" a="1"/>
  <c r="F19" i="7" s="1"/>
  <c r="G16" i="5"/>
  <c r="C19" i="7" s="1" a="1"/>
  <c r="C19" i="7" s="1"/>
  <c r="I33" i="5"/>
  <c r="E36" i="7" s="1" a="1"/>
  <c r="E36" i="7" s="1"/>
  <c r="H33" i="5"/>
  <c r="D36" i="7" s="1" a="1"/>
  <c r="D36" i="7" s="1"/>
  <c r="P33" i="5"/>
  <c r="L36" i="7" s="1" a="1"/>
  <c r="L36" i="7" s="1"/>
  <c r="N33" i="5"/>
  <c r="J36" i="7" s="1" a="1"/>
  <c r="J36" i="7" s="1"/>
  <c r="M33" i="5"/>
  <c r="I36" i="7" s="1" a="1"/>
  <c r="I36" i="7" s="1"/>
  <c r="K33" i="5"/>
  <c r="G36" i="7" s="1" a="1"/>
  <c r="G36" i="7" s="1"/>
  <c r="L33" i="5"/>
  <c r="H36" i="7" s="1" a="1"/>
  <c r="H36" i="7" s="1"/>
  <c r="J33" i="5"/>
  <c r="F36" i="7" s="1" a="1"/>
  <c r="F36" i="7" s="1"/>
  <c r="G33" i="5"/>
  <c r="C36" i="7" s="1" a="1"/>
  <c r="C36" i="7" s="1"/>
  <c r="O33" i="5"/>
  <c r="K36" i="7" s="1" a="1"/>
  <c r="K36" i="7" s="1"/>
  <c r="L13" i="7" a="1"/>
  <c r="L13" i="7" s="1"/>
  <c r="C37" i="7" a="1"/>
  <c r="C37" i="7" s="1"/>
  <c r="I30" i="7" a="1"/>
  <c r="I30" i="7" s="1"/>
  <c r="I13" i="5"/>
  <c r="E16" i="7" s="1" a="1"/>
  <c r="E16" i="7" s="1"/>
  <c r="H13" i="5"/>
  <c r="D16" i="7" s="1" a="1"/>
  <c r="D16" i="7" s="1"/>
  <c r="P13" i="5"/>
  <c r="L16" i="7" s="1" a="1"/>
  <c r="L16" i="7" s="1"/>
  <c r="N13" i="5"/>
  <c r="J16" i="7" s="1" a="1"/>
  <c r="J16" i="7" s="1"/>
  <c r="M13" i="5"/>
  <c r="I16" i="7" s="1" a="1"/>
  <c r="I16" i="7" s="1"/>
  <c r="K13" i="5"/>
  <c r="G16" i="7" s="1" a="1"/>
  <c r="G16" i="7" s="1"/>
  <c r="L13" i="5"/>
  <c r="H16" i="7" s="1" a="1"/>
  <c r="H16" i="7" s="1"/>
  <c r="J13" i="5"/>
  <c r="F16" i="7" s="1" a="1"/>
  <c r="F16" i="7" s="1"/>
  <c r="G13" i="5"/>
  <c r="C16" i="7" s="1" a="1"/>
  <c r="C16" i="7" s="1"/>
  <c r="O13" i="5"/>
  <c r="K16" i="7" s="1" a="1"/>
  <c r="K16" i="7" s="1"/>
  <c r="Z24" i="6"/>
  <c r="X24" i="6"/>
  <c r="V24" i="6"/>
  <c r="U24" i="6"/>
  <c r="T24" i="6"/>
  <c r="S24" i="6"/>
  <c r="R24" i="6"/>
  <c r="AA24" i="6"/>
  <c r="Y24" i="6"/>
  <c r="W24" i="6"/>
  <c r="I35" i="5"/>
  <c r="E38" i="7" s="1" a="1"/>
  <c r="E38" i="7" s="1"/>
  <c r="H35" i="5"/>
  <c r="D38" i="7" s="1" a="1"/>
  <c r="D38" i="7" s="1"/>
  <c r="P35" i="5"/>
  <c r="L38" i="7" s="1" a="1"/>
  <c r="L38" i="7" s="1"/>
  <c r="N35" i="5"/>
  <c r="J38" i="7" s="1" a="1"/>
  <c r="J38" i="7" s="1"/>
  <c r="M35" i="5"/>
  <c r="I38" i="7" s="1" a="1"/>
  <c r="I38" i="7" s="1"/>
  <c r="K35" i="5"/>
  <c r="G38" i="7" s="1" a="1"/>
  <c r="G38" i="7" s="1"/>
  <c r="L35" i="5"/>
  <c r="H38" i="7" s="1" a="1"/>
  <c r="H38" i="7" s="1"/>
  <c r="J35" i="5"/>
  <c r="F38" i="7" s="1" a="1"/>
  <c r="F38" i="7" s="1"/>
  <c r="G35" i="5"/>
  <c r="C38" i="7" s="1" a="1"/>
  <c r="C38" i="7" s="1"/>
  <c r="O35" i="5"/>
  <c r="K38" i="7" s="1" a="1"/>
  <c r="K38" i="7" s="1"/>
  <c r="I36" i="5"/>
  <c r="E39" i="7" s="1" a="1"/>
  <c r="E39" i="7" s="1"/>
  <c r="H36" i="5"/>
  <c r="D39" i="7" s="1" a="1"/>
  <c r="D39" i="7" s="1"/>
  <c r="P36" i="5"/>
  <c r="L39" i="7" s="1" a="1"/>
  <c r="L39" i="7" s="1"/>
  <c r="N36" i="5"/>
  <c r="J39" i="7" s="1" a="1"/>
  <c r="J39" i="7" s="1"/>
  <c r="M36" i="5"/>
  <c r="I39" i="7" s="1" a="1"/>
  <c r="I39" i="7" s="1"/>
  <c r="K36" i="5"/>
  <c r="G39" i="7" s="1" a="1"/>
  <c r="G39" i="7" s="1"/>
  <c r="O36" i="5"/>
  <c r="K39" i="7" s="1" a="1"/>
  <c r="K39" i="7" s="1"/>
  <c r="J36" i="5"/>
  <c r="F39" i="7" s="1" a="1"/>
  <c r="F39" i="7" s="1"/>
  <c r="L36" i="5"/>
  <c r="H39" i="7" s="1" a="1"/>
  <c r="H39" i="7" s="1"/>
  <c r="G36" i="5"/>
  <c r="C39" i="7" s="1" a="1"/>
  <c r="C39" i="7" s="1"/>
  <c r="I29" i="5"/>
  <c r="E32" i="7" s="1" a="1"/>
  <c r="E32" i="7" s="1"/>
  <c r="H29" i="5"/>
  <c r="D32" i="7" s="1" a="1"/>
  <c r="D32" i="7" s="1"/>
  <c r="P29" i="5"/>
  <c r="L32" i="7" s="1" a="1"/>
  <c r="L32" i="7" s="1"/>
  <c r="N29" i="5"/>
  <c r="J32" i="7" s="1" a="1"/>
  <c r="J32" i="7" s="1"/>
  <c r="M29" i="5"/>
  <c r="I32" i="7" s="1" a="1"/>
  <c r="I32" i="7" s="1"/>
  <c r="K29" i="5"/>
  <c r="G32" i="7" s="1" a="1"/>
  <c r="G32" i="7" s="1"/>
  <c r="O29" i="5"/>
  <c r="K32" i="7" s="1" a="1"/>
  <c r="K32" i="7" s="1"/>
  <c r="L29" i="5"/>
  <c r="H32" i="7" s="1" a="1"/>
  <c r="H32" i="7" s="1"/>
  <c r="J29" i="5"/>
  <c r="F32" i="7" s="1" a="1"/>
  <c r="F32" i="7" s="1"/>
  <c r="G29" i="5"/>
  <c r="C32" i="7" s="1" a="1"/>
  <c r="C32" i="7" s="1"/>
  <c r="K37" i="7" a="1"/>
  <c r="K37" i="7" s="1"/>
  <c r="AA13" i="6"/>
  <c r="Z13" i="6"/>
  <c r="X13" i="6"/>
  <c r="V13" i="6"/>
  <c r="T13" i="6"/>
  <c r="S13" i="6"/>
  <c r="R13" i="6"/>
  <c r="W13" i="6"/>
  <c r="U13" i="6"/>
  <c r="Y13" i="6"/>
  <c r="I28" i="5"/>
  <c r="E31" i="7" s="1" a="1"/>
  <c r="E31" i="7" s="1"/>
  <c r="H28" i="5"/>
  <c r="D31" i="7" s="1" a="1"/>
  <c r="D31" i="7" s="1"/>
  <c r="P28" i="5"/>
  <c r="L31" i="7" s="1" a="1"/>
  <c r="L31" i="7" s="1"/>
  <c r="N28" i="5"/>
  <c r="J31" i="7" s="1" a="1"/>
  <c r="J31" i="7" s="1"/>
  <c r="M28" i="5"/>
  <c r="I31" i="7" s="1" a="1"/>
  <c r="I31" i="7" s="1"/>
  <c r="K28" i="5"/>
  <c r="G31" i="7" s="1" a="1"/>
  <c r="G31" i="7" s="1"/>
  <c r="L28" i="5"/>
  <c r="H31" i="7" s="1" a="1"/>
  <c r="H31" i="7" s="1"/>
  <c r="J28" i="5"/>
  <c r="F31" i="7" s="1" a="1"/>
  <c r="F31" i="7" s="1"/>
  <c r="G28" i="5"/>
  <c r="C31" i="7" s="1" a="1"/>
  <c r="C31" i="7" s="1"/>
  <c r="O28" i="5"/>
  <c r="K31" i="7" s="1" a="1"/>
  <c r="K31" i="7" s="1"/>
  <c r="C13" i="7" a="1"/>
  <c r="C13" i="7" s="1"/>
  <c r="G37" i="7" a="1"/>
  <c r="G37" i="7" s="1"/>
  <c r="I26" i="5"/>
  <c r="E29" i="7" s="1" a="1"/>
  <c r="E29" i="7" s="1"/>
  <c r="H26" i="5"/>
  <c r="D29" i="7" s="1" a="1"/>
  <c r="D29" i="7" s="1"/>
  <c r="P26" i="5"/>
  <c r="L29" i="7" s="1" a="1"/>
  <c r="L29" i="7" s="1"/>
  <c r="N26" i="5"/>
  <c r="J29" i="7" s="1" a="1"/>
  <c r="J29" i="7" s="1"/>
  <c r="M26" i="5"/>
  <c r="I29" i="7" s="1" a="1"/>
  <c r="I29" i="7" s="1"/>
  <c r="K26" i="5"/>
  <c r="G29" i="7" s="1" a="1"/>
  <c r="G29" i="7" s="1"/>
  <c r="L26" i="5"/>
  <c r="H29" i="7" s="1" a="1"/>
  <c r="H29" i="7" s="1"/>
  <c r="J26" i="5"/>
  <c r="F29" i="7" s="1" a="1"/>
  <c r="F29" i="7" s="1"/>
  <c r="G26" i="5"/>
  <c r="C29" i="7" s="1" a="1"/>
  <c r="C29" i="7" s="1"/>
  <c r="O26" i="5"/>
  <c r="K29" i="7" s="1" a="1"/>
  <c r="K29" i="7" s="1"/>
  <c r="D13" i="7" a="1"/>
  <c r="D13" i="7" s="1"/>
  <c r="I37" i="7" a="1"/>
  <c r="I37" i="7" s="1"/>
  <c r="L30" i="7" a="1"/>
  <c r="L30" i="7" s="1"/>
  <c r="I14" i="5"/>
  <c r="E17" i="7" s="1" a="1"/>
  <c r="E17" i="7" s="1"/>
  <c r="H14" i="5"/>
  <c r="D17" i="7" s="1" a="1"/>
  <c r="D17" i="7" s="1"/>
  <c r="P14" i="5"/>
  <c r="L17" i="7" s="1" a="1"/>
  <c r="L17" i="7" s="1"/>
  <c r="N14" i="5"/>
  <c r="J17" i="7" s="1" a="1"/>
  <c r="J17" i="7" s="1"/>
  <c r="M14" i="5"/>
  <c r="I17" i="7" s="1" a="1"/>
  <c r="I17" i="7" s="1"/>
  <c r="K14" i="5"/>
  <c r="G17" i="7" s="1" a="1"/>
  <c r="G17" i="7" s="1"/>
  <c r="G14" i="5"/>
  <c r="C17" i="7" s="1" a="1"/>
  <c r="C17" i="7" s="1"/>
  <c r="O14" i="5"/>
  <c r="K17" i="7" s="1" a="1"/>
  <c r="K17" i="7" s="1"/>
  <c r="J14" i="5"/>
  <c r="F17" i="7" s="1" a="1"/>
  <c r="F17" i="7" s="1"/>
  <c r="L14" i="5"/>
  <c r="H17" i="7" s="1" a="1"/>
  <c r="H17" i="7" s="1"/>
  <c r="I24" i="5"/>
  <c r="E27" i="7" s="1" a="1"/>
  <c r="E27" i="7" s="1"/>
  <c r="H24" i="5"/>
  <c r="D27" i="7" s="1" a="1"/>
  <c r="D27" i="7" s="1"/>
  <c r="P24" i="5"/>
  <c r="L27" i="7" s="1" a="1"/>
  <c r="L27" i="7" s="1"/>
  <c r="N24" i="5"/>
  <c r="J27" i="7" s="1" a="1"/>
  <c r="J27" i="7" s="1"/>
  <c r="M24" i="5"/>
  <c r="I27" i="7" s="1" a="1"/>
  <c r="I27" i="7" s="1"/>
  <c r="K24" i="5"/>
  <c r="G27" i="7" s="1" a="1"/>
  <c r="G27" i="7" s="1"/>
  <c r="L24" i="5"/>
  <c r="H27" i="7" s="1" a="1"/>
  <c r="H27" i="7" s="1"/>
  <c r="J24" i="5"/>
  <c r="F27" i="7" s="1" a="1"/>
  <c r="F27" i="7" s="1"/>
  <c r="G24" i="5"/>
  <c r="C27" i="7" s="1" a="1"/>
  <c r="C27" i="7" s="1"/>
  <c r="O24" i="5"/>
  <c r="K27" i="7" s="1" a="1"/>
  <c r="K27" i="7" s="1"/>
  <c r="I38" i="5"/>
  <c r="E41" i="7" s="1" a="1"/>
  <c r="E41" i="7" s="1"/>
  <c r="H38" i="5"/>
  <c r="D41" i="7" s="1" a="1"/>
  <c r="D41" i="7" s="1"/>
  <c r="P38" i="5"/>
  <c r="L41" i="7" s="1" a="1"/>
  <c r="L41" i="7" s="1"/>
  <c r="N38" i="5"/>
  <c r="J41" i="7" s="1" a="1"/>
  <c r="J41" i="7" s="1"/>
  <c r="M38" i="5"/>
  <c r="I41" i="7" s="1" a="1"/>
  <c r="I41" i="7" s="1"/>
  <c r="K38" i="5"/>
  <c r="G41" i="7" s="1" a="1"/>
  <c r="G41" i="7" s="1"/>
  <c r="O38" i="5"/>
  <c r="K41" i="7" s="1" a="1"/>
  <c r="K41" i="7" s="1"/>
  <c r="L38" i="5"/>
  <c r="H41" i="7" s="1" a="1"/>
  <c r="H41" i="7" s="1"/>
  <c r="J38" i="5"/>
  <c r="F41" i="7" s="1" a="1"/>
  <c r="F41" i="7" s="1"/>
  <c r="G38" i="5"/>
  <c r="C41" i="7" s="1" a="1"/>
  <c r="C41" i="7" s="1"/>
  <c r="G13" i="7" a="1"/>
  <c r="G13" i="7" s="1"/>
  <c r="J37" i="7" a="1"/>
  <c r="J37" i="7" s="1"/>
  <c r="D30" i="7" a="1"/>
  <c r="D30" i="7" s="1"/>
  <c r="AA10" i="6"/>
  <c r="Z10" i="6"/>
  <c r="X10" i="6"/>
  <c r="V10" i="6"/>
  <c r="T10" i="6"/>
  <c r="S10" i="6"/>
  <c r="Y10" i="6"/>
  <c r="W10" i="6"/>
  <c r="U10" i="6"/>
  <c r="R10" i="6"/>
  <c r="I17" i="5"/>
  <c r="E20" i="7" s="1" a="1"/>
  <c r="E20" i="7" s="1"/>
  <c r="H17" i="5"/>
  <c r="D20" i="7" s="1" a="1"/>
  <c r="D20" i="7" s="1"/>
  <c r="P17" i="5"/>
  <c r="L20" i="7" s="1" a="1"/>
  <c r="L20" i="7" s="1"/>
  <c r="N17" i="5"/>
  <c r="J20" i="7" s="1" a="1"/>
  <c r="J20" i="7" s="1"/>
  <c r="M17" i="5"/>
  <c r="I20" i="7" s="1" a="1"/>
  <c r="I20" i="7" s="1"/>
  <c r="K17" i="5"/>
  <c r="G20" i="7" s="1" a="1"/>
  <c r="G20" i="7" s="1"/>
  <c r="L17" i="5"/>
  <c r="H20" i="7" s="1" a="1"/>
  <c r="H20" i="7" s="1"/>
  <c r="J17" i="5"/>
  <c r="F20" i="7" s="1" a="1"/>
  <c r="F20" i="7" s="1"/>
  <c r="G17" i="5"/>
  <c r="C20" i="7" s="1" a="1"/>
  <c r="C20" i="7" s="1"/>
  <c r="O17" i="5"/>
  <c r="K20" i="7" s="1" a="1"/>
  <c r="K20" i="7" s="1"/>
  <c r="I25" i="5"/>
  <c r="E28" i="7" s="1" a="1"/>
  <c r="E28" i="7" s="1"/>
  <c r="H25" i="5"/>
  <c r="D28" i="7" s="1" a="1"/>
  <c r="D28" i="7" s="1"/>
  <c r="P25" i="5"/>
  <c r="L28" i="7" s="1" a="1"/>
  <c r="L28" i="7" s="1"/>
  <c r="N25" i="5"/>
  <c r="J28" i="7" s="1" a="1"/>
  <c r="J28" i="7" s="1"/>
  <c r="M25" i="5"/>
  <c r="I28" i="7" s="1" a="1"/>
  <c r="I28" i="7" s="1"/>
  <c r="K25" i="5"/>
  <c r="G28" i="7" s="1" a="1"/>
  <c r="G28" i="7" s="1"/>
  <c r="G25" i="5"/>
  <c r="C28" i="7" s="1" a="1"/>
  <c r="C28" i="7" s="1"/>
  <c r="O25" i="5"/>
  <c r="K28" i="7" s="1" a="1"/>
  <c r="K28" i="7" s="1"/>
  <c r="J25" i="5"/>
  <c r="F28" i="7" s="1" a="1"/>
  <c r="F28" i="7" s="1"/>
  <c r="L25" i="5"/>
  <c r="H28" i="7" s="1" a="1"/>
  <c r="H28" i="7" s="1"/>
  <c r="E13" i="7" a="1"/>
  <c r="E13" i="7" s="1"/>
  <c r="C30" i="7" a="1"/>
  <c r="C30" i="7" s="1"/>
  <c r="N30" i="7" l="1"/>
  <c r="N38" i="7"/>
  <c r="N13" i="7"/>
  <c r="N41" i="7"/>
  <c r="N36" i="7"/>
  <c r="N18" i="7"/>
  <c r="N20" i="7"/>
  <c r="N15" i="7"/>
  <c r="N12" i="7"/>
  <c r="N28" i="7"/>
  <c r="N32" i="7"/>
  <c r="N21" i="7"/>
  <c r="N14" i="7"/>
  <c r="N39" i="7"/>
  <c r="N40" i="7"/>
  <c r="N37" i="7"/>
  <c r="N19" i="7"/>
  <c r="N29" i="7"/>
  <c r="N31" i="7"/>
  <c r="N27" i="7"/>
  <c r="N17" i="7"/>
  <c r="N16" i="7"/>
</calcChain>
</file>

<file path=xl/sharedStrings.xml><?xml version="1.0" encoding="utf-8"?>
<sst xmlns="http://schemas.openxmlformats.org/spreadsheetml/2006/main" count="273" uniqueCount="135">
  <si>
    <t>Paulian Oprescu</t>
  </si>
  <si>
    <t>Year</t>
  </si>
  <si>
    <t>P25</t>
  </si>
  <si>
    <t>P50</t>
  </si>
  <si>
    <t>P75</t>
  </si>
  <si>
    <t>Regime</t>
  </si>
  <si>
    <t>status_quo</t>
  </si>
  <si>
    <t>fit_for_55</t>
  </si>
  <si>
    <t>accelerated</t>
  </si>
  <si>
    <t>Assumptions</t>
  </si>
  <si>
    <t>CAPM &amp; WACC</t>
  </si>
  <si>
    <t>Market Index</t>
  </si>
  <si>
    <t>Risk-Free Rate</t>
  </si>
  <si>
    <t>Market Risk Premium</t>
  </si>
  <si>
    <t>Symbol</t>
  </si>
  <si>
    <t>rM</t>
  </si>
  <si>
    <t>rF</t>
  </si>
  <si>
    <t>ErM - rF</t>
  </si>
  <si>
    <t>Value</t>
  </si>
  <si>
    <t>Variable Name</t>
  </si>
  <si>
    <t>STOXX Europe 600 ϐ</t>
  </si>
  <si>
    <t>German Bund (10y) Yield</t>
  </si>
  <si>
    <t>European Practice Return Rate</t>
  </si>
  <si>
    <t>Δ Carbon Emission &amp; Exposure</t>
  </si>
  <si>
    <t>Reported tCO2e</t>
  </si>
  <si>
    <t>EBITDA ($)</t>
  </si>
  <si>
    <t>Intensity (t CO2 / $ )</t>
  </si>
  <si>
    <t>iCO2</t>
  </si>
  <si>
    <t>g</t>
  </si>
  <si>
    <t>ϑ</t>
  </si>
  <si>
    <t>Novartis AG</t>
  </si>
  <si>
    <t>UCB SA</t>
  </si>
  <si>
    <t>Johnson &amp; Johnson</t>
  </si>
  <si>
    <t>AstraZeneca</t>
  </si>
  <si>
    <t>Logista</t>
  </si>
  <si>
    <t>C.H. Robinson</t>
  </si>
  <si>
    <t>Kuehne + Nagel</t>
  </si>
  <si>
    <t>Iberdrola</t>
  </si>
  <si>
    <t>Shell</t>
  </si>
  <si>
    <t>TotalEnergies SE</t>
  </si>
  <si>
    <t>Engie</t>
  </si>
  <si>
    <t>SBTI Compliance</t>
  </si>
  <si>
    <t>2x Target Set</t>
  </si>
  <si>
    <t>1x Target Set &amp; Committed/None</t>
  </si>
  <si>
    <t>None</t>
  </si>
  <si>
    <t>DeCarbonisation Rate p.a.</t>
  </si>
  <si>
    <t>EU Carbon Policy Regime</t>
  </si>
  <si>
    <t>Policy Regime :</t>
  </si>
  <si>
    <t>Price Percentile :</t>
  </si>
  <si>
    <t>Price</t>
  </si>
  <si>
    <t>Carbon Emission &amp; Exposure</t>
  </si>
  <si>
    <t>Emissions</t>
  </si>
  <si>
    <t>E0</t>
  </si>
  <si>
    <t>SBTId</t>
  </si>
  <si>
    <t>LIFE SCIENCES</t>
  </si>
  <si>
    <t>AstraZeneca PLC</t>
  </si>
  <si>
    <t>Bayer AG</t>
  </si>
  <si>
    <t>Roche Holding AG</t>
  </si>
  <si>
    <t>Sanofi</t>
  </si>
  <si>
    <t>GSK plc</t>
  </si>
  <si>
    <t xml:space="preserve">BioNTech SE </t>
  </si>
  <si>
    <t>Pfizer</t>
  </si>
  <si>
    <t>Transport</t>
  </si>
  <si>
    <t>PostNL</t>
  </si>
  <si>
    <t>DHL Group</t>
  </si>
  <si>
    <t xml:space="preserve">XPO Logistics </t>
  </si>
  <si>
    <t>Energy</t>
  </si>
  <si>
    <t>Elia</t>
  </si>
  <si>
    <t>Orsted</t>
  </si>
  <si>
    <t>Shell plc</t>
  </si>
  <si>
    <t>DCF</t>
  </si>
  <si>
    <t>Discount Rate</t>
  </si>
  <si>
    <t>Ticker</t>
  </si>
  <si>
    <t>EcoVadis</t>
  </si>
  <si>
    <t>ϐ</t>
  </si>
  <si>
    <t>rE</t>
  </si>
  <si>
    <t>Interest Expense</t>
  </si>
  <si>
    <t>Total Debt</t>
  </si>
  <si>
    <t>rD</t>
  </si>
  <si>
    <t>Tax (HQ-specific)</t>
  </si>
  <si>
    <t>rD (after-tax)</t>
  </si>
  <si>
    <t>Market Cap</t>
  </si>
  <si>
    <t>wE</t>
  </si>
  <si>
    <t>wD</t>
  </si>
  <si>
    <t>Yearly Discount Factor</t>
  </si>
  <si>
    <t>AZN</t>
  </si>
  <si>
    <t>Gold</t>
  </si>
  <si>
    <t>BAYN.DE</t>
  </si>
  <si>
    <t xml:space="preserve">Gold </t>
  </si>
  <si>
    <t>NVS</t>
  </si>
  <si>
    <t>Silver</t>
  </si>
  <si>
    <t>RHHVF</t>
  </si>
  <si>
    <t>SNY</t>
  </si>
  <si>
    <t>Comitted</t>
  </si>
  <si>
    <t>UCB.BR</t>
  </si>
  <si>
    <t>GSK</t>
  </si>
  <si>
    <t>BNTX</t>
  </si>
  <si>
    <t>PFE.DE</t>
  </si>
  <si>
    <t>Commited</t>
  </si>
  <si>
    <t>JNJ.DE</t>
  </si>
  <si>
    <t>PNL.AS</t>
  </si>
  <si>
    <t>Platinum</t>
  </si>
  <si>
    <t>DHL.DE</t>
  </si>
  <si>
    <t>XPO</t>
  </si>
  <si>
    <t>5CI.F</t>
  </si>
  <si>
    <t>KNIN.SW</t>
  </si>
  <si>
    <t>CHRW</t>
  </si>
  <si>
    <t>IBE5.F</t>
  </si>
  <si>
    <t>ELIAF</t>
  </si>
  <si>
    <t>ENGIY</t>
  </si>
  <si>
    <t>TTE.PA</t>
  </si>
  <si>
    <t>D2G.F</t>
  </si>
  <si>
    <t>SHELL.AS</t>
  </si>
  <si>
    <t>Carbon Costs &amp; NPV</t>
  </si>
  <si>
    <t>Carbon Costs</t>
  </si>
  <si>
    <t>NPV</t>
  </si>
  <si>
    <t>Life Sciences</t>
  </si>
  <si>
    <t>Data</t>
  </si>
  <si>
    <t>European Comission - EU Reference Scenario 2020</t>
  </si>
  <si>
    <t>Metric</t>
  </si>
  <si>
    <t>CAGR</t>
  </si>
  <si>
    <t>Population (million)</t>
  </si>
  <si>
    <t>GDP (bn EUR 2015)</t>
  </si>
  <si>
    <t>Energy intensive industries</t>
  </si>
  <si>
    <t>Passenger transport activity (Gpkm)</t>
  </si>
  <si>
    <t>Freight transport activity (Gtkm)</t>
  </si>
  <si>
    <t>Gross electricity generation (GWh)</t>
  </si>
  <si>
    <t>Final energy consumption (ktoe)</t>
  </si>
  <si>
    <t>Firm</t>
  </si>
  <si>
    <t>SBTI</t>
  </si>
  <si>
    <t>MarketCap</t>
  </si>
  <si>
    <t>Novo Nordisk A/S</t>
  </si>
  <si>
    <t xml:space="preserve">DSV A/S </t>
  </si>
  <si>
    <t>EUA</t>
  </si>
  <si>
    <t>Carbon Pricing Exposure &amp; Firm Valuation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</si>
</sst>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00%"/>
    <numFmt numFmtId="166" formatCode="0.0"/>
    <numFmt numFmtId="167" formatCode="#,##0.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theme="4" tint="-0.249977111117893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i/>
      <u/>
      <sz val="11"/>
      <color theme="10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b/>
      <sz val="11"/>
      <name val="Aptos Narrow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7030A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9" fontId="1" fillId="0" borderId="0"/>
    <xf numFmtId="0" fontId="12" fillId="0" borderId="0"/>
  </cellStyleXfs>
  <cellXfs count="59">
    <xf numFmtId="0" fontId="0" fillId="0" borderId="0" xfId="0"/>
    <xf numFmtId="0" fontId="0" fillId="0" borderId="1" xfId="0" applyBorder="1"/>
    <xf numFmtId="0" fontId="4" fillId="0" borderId="1" xfId="0" applyFont="1" applyBorder="1"/>
    <xf numFmtId="0" fontId="0" fillId="2" borderId="0" xfId="0" applyFill="1"/>
    <xf numFmtId="0" fontId="5" fillId="0" borderId="1" xfId="0" applyFont="1" applyBorder="1"/>
    <xf numFmtId="0" fontId="2" fillId="2" borderId="0" xfId="0" applyFont="1" applyFill="1"/>
    <xf numFmtId="0" fontId="7" fillId="0" borderId="0" xfId="0" applyFont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164" fontId="7" fillId="3" borderId="2" xfId="1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7" fillId="0" borderId="0" xfId="1" applyNumberFormat="1" applyFont="1" applyAlignment="1">
      <alignment horizontal="center"/>
    </xf>
    <xf numFmtId="0" fontId="7" fillId="0" borderId="0" xfId="0" applyFont="1" applyAlignment="1">
      <alignment horizontal="center"/>
    </xf>
    <xf numFmtId="4" fontId="7" fillId="3" borderId="0" xfId="0" applyNumberFormat="1" applyFont="1" applyFill="1"/>
    <xf numFmtId="0" fontId="9" fillId="0" borderId="0" xfId="0" applyFont="1"/>
    <xf numFmtId="0" fontId="0" fillId="4" borderId="0" xfId="0" applyFill="1"/>
    <xf numFmtId="0" fontId="10" fillId="5" borderId="0" xfId="0" applyFont="1" applyFill="1"/>
    <xf numFmtId="0" fontId="6" fillId="4" borderId="0" xfId="0" applyFont="1" applyFill="1"/>
    <xf numFmtId="0" fontId="0" fillId="4" borderId="0" xfId="0" applyFill="1" applyAlignment="1">
      <alignment horizontal="center"/>
    </xf>
    <xf numFmtId="0" fontId="8" fillId="4" borderId="0" xfId="0" applyFont="1" applyFill="1" applyAlignment="1">
      <alignment horizontal="center"/>
    </xf>
    <xf numFmtId="165" fontId="0" fillId="0" borderId="0" xfId="1" applyNumberFormat="1" applyFont="1"/>
    <xf numFmtId="10" fontId="7" fillId="3" borderId="0" xfId="1" applyNumberFormat="1" applyFont="1" applyFill="1"/>
    <xf numFmtId="165" fontId="0" fillId="0" borderId="0" xfId="0" applyNumberFormat="1"/>
    <xf numFmtId="0" fontId="3" fillId="0" borderId="0" xfId="0" applyFont="1"/>
    <xf numFmtId="0" fontId="10" fillId="6" borderId="0" xfId="0" applyFont="1" applyFill="1"/>
    <xf numFmtId="0" fontId="10" fillId="7" borderId="0" xfId="0" applyFont="1" applyFill="1"/>
    <xf numFmtId="4" fontId="0" fillId="0" borderId="0" xfId="0" applyNumberFormat="1"/>
    <xf numFmtId="0" fontId="11" fillId="0" borderId="0" xfId="0" applyFont="1"/>
    <xf numFmtId="0" fontId="11" fillId="0" borderId="0" xfId="0" applyFont="1" applyAlignment="1">
      <alignment horizontal="center"/>
    </xf>
    <xf numFmtId="0" fontId="0" fillId="8" borderId="0" xfId="0" applyFill="1"/>
    <xf numFmtId="10" fontId="7" fillId="0" borderId="0" xfId="1" applyNumberFormat="1" applyFont="1"/>
    <xf numFmtId="10" fontId="0" fillId="0" borderId="0" xfId="0" applyNumberFormat="1"/>
    <xf numFmtId="0" fontId="12" fillId="8" borderId="0" xfId="2" applyFill="1"/>
    <xf numFmtId="0" fontId="12" fillId="0" borderId="0" xfId="2"/>
    <xf numFmtId="0" fontId="0" fillId="0" borderId="0" xfId="0" quotePrefix="1"/>
    <xf numFmtId="0" fontId="0" fillId="3" borderId="3" xfId="0" applyFill="1" applyBorder="1" applyAlignment="1">
      <alignment horizontal="center"/>
    </xf>
    <xf numFmtId="0" fontId="0" fillId="9" borderId="0" xfId="0" applyFill="1"/>
    <xf numFmtId="0" fontId="0" fillId="0" borderId="5" xfId="0" quotePrefix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0" fillId="0" borderId="8" xfId="0" quotePrefix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4" borderId="0" xfId="0" applyFont="1" applyFill="1"/>
    <xf numFmtId="0" fontId="14" fillId="3" borderId="0" xfId="0" applyFont="1" applyFill="1"/>
    <xf numFmtId="0" fontId="2" fillId="9" borderId="0" xfId="0" applyFont="1" applyFill="1" applyAlignment="1">
      <alignment horizontal="center"/>
    </xf>
    <xf numFmtId="4" fontId="11" fillId="0" borderId="0" xfId="0" applyNumberFormat="1" applyFont="1"/>
    <xf numFmtId="0" fontId="15" fillId="0" borderId="0" xfId="2" applyFont="1"/>
    <xf numFmtId="0" fontId="16" fillId="0" borderId="0" xfId="0" applyFont="1"/>
    <xf numFmtId="166" fontId="7" fillId="0" borderId="0" xfId="0" applyNumberFormat="1" applyFont="1"/>
    <xf numFmtId="4" fontId="7" fillId="0" borderId="0" xfId="0" applyNumberFormat="1" applyFont="1"/>
    <xf numFmtId="167" fontId="0" fillId="0" borderId="0" xfId="0" applyNumberFormat="1"/>
    <xf numFmtId="0" fontId="17" fillId="0" borderId="9" xfId="0" applyFont="1" applyBorder="1" applyAlignment="1">
      <alignment horizontal="center" vertical="top"/>
    </xf>
    <xf numFmtId="0" fontId="0" fillId="0" borderId="2" xfId="0" applyBorder="1" applyAlignment="1">
      <alignment horizontal="center" vertical="center"/>
    </xf>
    <xf numFmtId="0" fontId="0" fillId="0" borderId="8" xfId="0" applyBorder="1"/>
    <xf numFmtId="0" fontId="0" fillId="0" borderId="4" xfId="0" applyBorder="1"/>
    <xf numFmtId="0" fontId="0" fillId="3" borderId="2" xfId="0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berdrola.com/documents/20125/4778712/gsm25-sustainability-report-2024.pdf" TargetMode="External"/><Relationship Id="rId3" Type="http://schemas.openxmlformats.org/officeDocument/2006/relationships/hyperlink" Target="https://share.google/38sAyqgIdyShiWAoh" TargetMode="External"/><Relationship Id="rId7" Type="http://schemas.openxmlformats.org/officeDocument/2006/relationships/hyperlink" Target="https://assets.kuehne-nagel.com/f/331466/x/7166ee1d9e/company-sustainability-esg-sustainability-report-2024.pdf" TargetMode="External"/><Relationship Id="rId2" Type="http://schemas.openxmlformats.org/officeDocument/2006/relationships/hyperlink" Target="https://djmyn0vvwsj0h.cloudfront.net/UCB_IAR_2024_ENG_4f4ead3812.pdf" TargetMode="External"/><Relationship Id="rId1" Type="http://schemas.openxmlformats.org/officeDocument/2006/relationships/hyperlink" Target="https://www.novartis.com/sites/novartis_com/files/novartis-integrated-report-2024.pdf" TargetMode="External"/><Relationship Id="rId6" Type="http://schemas.openxmlformats.org/officeDocument/2006/relationships/hyperlink" Target="https://www.chrobinson.com/en-us/-/media/chrglobal/documents/esg-report/chr-esg-report-english.pdf" TargetMode="External"/><Relationship Id="rId11" Type="http://schemas.openxmlformats.org/officeDocument/2006/relationships/hyperlink" Target="https://www.engie.com/sites/default/files/assets/documents/2025-04/20250416%20-Engie%20-2024%20ESG%20at%20ENGIE.pdf" TargetMode="External"/><Relationship Id="rId5" Type="http://schemas.openxmlformats.org/officeDocument/2006/relationships/hyperlink" Target="https://www.logista.com/content/dam/documents/logista-corporate/informe-anual-qrs/en/7.%20Informe%20de%20Sostenibilidad%20Logista%202025%20-%20English.pdf" TargetMode="External"/><Relationship Id="rId10" Type="http://schemas.openxmlformats.org/officeDocument/2006/relationships/hyperlink" Target="https://totalenergies.com/system/files/documents/totalenergies_sustainability-climate-2025-progress-report_2025_en.pdf" TargetMode="External"/><Relationship Id="rId4" Type="http://schemas.openxmlformats.org/officeDocument/2006/relationships/hyperlink" Target="https://www.astrazeneca.com/content/dam/az/Sustainability/2025/pdf/Sustainability-Data-Annex-2024.pdf" TargetMode="External"/><Relationship Id="rId9" Type="http://schemas.openxmlformats.org/officeDocument/2006/relationships/hyperlink" Target="https://www.shell.com/sustainability/reporting-centre/reporting-centre-archive/_jcr_content/root/main/section_2106585602/tabs/tab/text_copy/links/item0.stream/1742906426699/4ef5cfa607e5e308ad8a68fc3ddffbe6342f8fa8/shell-sustainability-report-2023.pdf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sciencebasedtargets.org/target-dashboard" TargetMode="External"/><Relationship Id="rId1" Type="http://schemas.openxmlformats.org/officeDocument/2006/relationships/hyperlink" Target="https://energy.ec.europa.eu/data-and-analysis/energy-modelling/eu-reference-scenario-2020_en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carbonpricingdashboard.worldbank.org/compliance/pri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4"/>
  <sheetViews>
    <sheetView showGridLines="0" workbookViewId="0">
      <selection activeCell="H11" sqref="H11"/>
    </sheetView>
  </sheetViews>
  <sheetFormatPr defaultRowHeight="14.5" x14ac:dyDescent="0.35"/>
  <cols>
    <col min="1" max="1" width="3.6328125" customWidth="1"/>
  </cols>
  <sheetData>
    <row r="2" spans="2:2" s="1" customFormat="1" ht="25" customHeight="1" x14ac:dyDescent="0.55000000000000004">
      <c r="B2" s="2" t="s">
        <v>134</v>
      </c>
    </row>
    <row r="3" spans="2:2" s="3" customFormat="1" ht="4" customHeight="1" x14ac:dyDescent="0.35"/>
    <row r="4" spans="2:2" x14ac:dyDescent="0.35">
      <c r="B4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"/>
  <sheetViews>
    <sheetView workbookViewId="0">
      <selection activeCell="B20" sqref="B20"/>
    </sheetView>
  </sheetViews>
  <sheetFormatPr defaultRowHeight="14.5" x14ac:dyDescent="0.35"/>
  <sheetData>
    <row r="1" spans="1:5" x14ac:dyDescent="0.35">
      <c r="A1" s="54" t="s">
        <v>1</v>
      </c>
      <c r="B1" s="54" t="s">
        <v>2</v>
      </c>
      <c r="C1" s="54" t="s">
        <v>3</v>
      </c>
      <c r="D1" s="54" t="s">
        <v>4</v>
      </c>
      <c r="E1" s="54" t="s">
        <v>5</v>
      </c>
    </row>
    <row r="2" spans="1:5" x14ac:dyDescent="0.35">
      <c r="A2">
        <v>2026</v>
      </c>
      <c r="B2">
        <v>70.37</v>
      </c>
      <c r="C2">
        <v>70.37</v>
      </c>
      <c r="D2">
        <v>70.37</v>
      </c>
      <c r="E2" t="s">
        <v>6</v>
      </c>
    </row>
    <row r="3" spans="1:5" x14ac:dyDescent="0.35">
      <c r="A3">
        <v>2027</v>
      </c>
      <c r="B3">
        <v>59.34</v>
      </c>
      <c r="C3">
        <v>70.260000000000005</v>
      </c>
      <c r="D3">
        <v>83.17</v>
      </c>
      <c r="E3" t="s">
        <v>6</v>
      </c>
    </row>
    <row r="4" spans="1:5" x14ac:dyDescent="0.35">
      <c r="A4">
        <v>2028</v>
      </c>
      <c r="B4">
        <v>55.26</v>
      </c>
      <c r="C4">
        <v>70.150000000000006</v>
      </c>
      <c r="D4">
        <v>89.09</v>
      </c>
      <c r="E4" t="s">
        <v>6</v>
      </c>
    </row>
    <row r="5" spans="1:5" x14ac:dyDescent="0.35">
      <c r="A5">
        <v>2029</v>
      </c>
      <c r="B5">
        <v>52.31</v>
      </c>
      <c r="C5">
        <v>70.02</v>
      </c>
      <c r="D5">
        <v>93.9</v>
      </c>
      <c r="E5" t="s">
        <v>6</v>
      </c>
    </row>
    <row r="6" spans="1:5" x14ac:dyDescent="0.35">
      <c r="A6">
        <v>2030</v>
      </c>
      <c r="B6">
        <v>49.95</v>
      </c>
      <c r="C6">
        <v>70</v>
      </c>
      <c r="D6">
        <v>98.05</v>
      </c>
      <c r="E6" t="s">
        <v>6</v>
      </c>
    </row>
    <row r="7" spans="1:5" x14ac:dyDescent="0.35">
      <c r="A7">
        <v>2031</v>
      </c>
      <c r="B7">
        <v>47.95</v>
      </c>
      <c r="C7">
        <v>69.97</v>
      </c>
      <c r="D7">
        <v>101.94</v>
      </c>
      <c r="E7" t="s">
        <v>6</v>
      </c>
    </row>
    <row r="8" spans="1:5" x14ac:dyDescent="0.35">
      <c r="A8">
        <v>2032</v>
      </c>
      <c r="B8">
        <v>46.18</v>
      </c>
      <c r="C8">
        <v>69.819999999999993</v>
      </c>
      <c r="D8">
        <v>105.48</v>
      </c>
      <c r="E8" t="s">
        <v>6</v>
      </c>
    </row>
    <row r="9" spans="1:5" x14ac:dyDescent="0.35">
      <c r="A9">
        <v>2033</v>
      </c>
      <c r="B9">
        <v>44.65</v>
      </c>
      <c r="C9">
        <v>69.7</v>
      </c>
      <c r="D9">
        <v>109.05</v>
      </c>
      <c r="E9" t="s">
        <v>6</v>
      </c>
    </row>
    <row r="10" spans="1:5" x14ac:dyDescent="0.35">
      <c r="A10">
        <v>2034</v>
      </c>
      <c r="B10">
        <v>43.27</v>
      </c>
      <c r="C10">
        <v>69.62</v>
      </c>
      <c r="D10">
        <v>112.26</v>
      </c>
      <c r="E10" t="s">
        <v>6</v>
      </c>
    </row>
    <row r="11" spans="1:5" x14ac:dyDescent="0.35">
      <c r="A11">
        <v>2035</v>
      </c>
      <c r="B11">
        <v>41.96</v>
      </c>
      <c r="C11">
        <v>69.569999999999993</v>
      </c>
      <c r="D11">
        <v>115.53</v>
      </c>
      <c r="E11" t="s">
        <v>6</v>
      </c>
    </row>
    <row r="12" spans="1:5" x14ac:dyDescent="0.35">
      <c r="A12">
        <v>2026</v>
      </c>
      <c r="B12">
        <v>70.37</v>
      </c>
      <c r="C12">
        <v>70.37</v>
      </c>
      <c r="D12">
        <v>70.37</v>
      </c>
      <c r="E12" t="s">
        <v>7</v>
      </c>
    </row>
    <row r="13" spans="1:5" x14ac:dyDescent="0.35">
      <c r="A13">
        <v>2027</v>
      </c>
      <c r="B13">
        <v>61.19</v>
      </c>
      <c r="C13">
        <v>72.430000000000007</v>
      </c>
      <c r="D13">
        <v>85.7</v>
      </c>
      <c r="E13" t="s">
        <v>7</v>
      </c>
    </row>
    <row r="14" spans="1:5" x14ac:dyDescent="0.35">
      <c r="A14">
        <v>2028</v>
      </c>
      <c r="B14">
        <v>58.69</v>
      </c>
      <c r="C14">
        <v>74.540000000000006</v>
      </c>
      <c r="D14">
        <v>94.58</v>
      </c>
      <c r="E14" t="s">
        <v>7</v>
      </c>
    </row>
    <row r="15" spans="1:5" x14ac:dyDescent="0.35">
      <c r="A15">
        <v>2029</v>
      </c>
      <c r="B15">
        <v>57.25</v>
      </c>
      <c r="C15">
        <v>76.650000000000006</v>
      </c>
      <c r="D15">
        <v>102.63</v>
      </c>
      <c r="E15" t="s">
        <v>7</v>
      </c>
    </row>
    <row r="16" spans="1:5" x14ac:dyDescent="0.35">
      <c r="A16">
        <v>2030</v>
      </c>
      <c r="B16">
        <v>56.32</v>
      </c>
      <c r="C16">
        <v>78.94</v>
      </c>
      <c r="D16">
        <v>110.54</v>
      </c>
      <c r="E16" t="s">
        <v>7</v>
      </c>
    </row>
    <row r="17" spans="1:5" x14ac:dyDescent="0.35">
      <c r="A17">
        <v>2031</v>
      </c>
      <c r="B17">
        <v>55.69</v>
      </c>
      <c r="C17">
        <v>81.209999999999994</v>
      </c>
      <c r="D17">
        <v>118.42</v>
      </c>
      <c r="E17" t="s">
        <v>7</v>
      </c>
    </row>
    <row r="18" spans="1:5" x14ac:dyDescent="0.35">
      <c r="A18">
        <v>2032</v>
      </c>
      <c r="B18">
        <v>55.33</v>
      </c>
      <c r="C18">
        <v>83.61</v>
      </c>
      <c r="D18">
        <v>126.43</v>
      </c>
      <c r="E18" t="s">
        <v>7</v>
      </c>
    </row>
    <row r="19" spans="1:5" x14ac:dyDescent="0.35">
      <c r="A19">
        <v>2033</v>
      </c>
      <c r="B19">
        <v>55.08</v>
      </c>
      <c r="C19">
        <v>86.09</v>
      </c>
      <c r="D19">
        <v>134.41</v>
      </c>
      <c r="E19" t="s">
        <v>7</v>
      </c>
    </row>
    <row r="20" spans="1:5" x14ac:dyDescent="0.35">
      <c r="A20">
        <v>2034</v>
      </c>
      <c r="B20">
        <v>54.99</v>
      </c>
      <c r="C20">
        <v>88.65</v>
      </c>
      <c r="D20">
        <v>142.72</v>
      </c>
      <c r="E20" t="s">
        <v>7</v>
      </c>
    </row>
    <row r="21" spans="1:5" x14ac:dyDescent="0.35">
      <c r="A21">
        <v>2035</v>
      </c>
      <c r="B21">
        <v>55</v>
      </c>
      <c r="C21">
        <v>91.19</v>
      </c>
      <c r="D21">
        <v>151.22</v>
      </c>
      <c r="E21" t="s">
        <v>7</v>
      </c>
    </row>
    <row r="22" spans="1:5" x14ac:dyDescent="0.35">
      <c r="A22">
        <v>2026</v>
      </c>
      <c r="B22">
        <v>70.37</v>
      </c>
      <c r="C22">
        <v>70.37</v>
      </c>
      <c r="D22">
        <v>70.37</v>
      </c>
      <c r="E22" t="s">
        <v>8</v>
      </c>
    </row>
    <row r="23" spans="1:5" x14ac:dyDescent="0.35">
      <c r="A23">
        <v>2027</v>
      </c>
      <c r="B23">
        <v>63.69</v>
      </c>
      <c r="C23">
        <v>75.400000000000006</v>
      </c>
      <c r="D23">
        <v>89.25</v>
      </c>
      <c r="E23" t="s">
        <v>8</v>
      </c>
    </row>
    <row r="24" spans="1:5" x14ac:dyDescent="0.35">
      <c r="A24">
        <v>2028</v>
      </c>
      <c r="B24">
        <v>63.62</v>
      </c>
      <c r="C24">
        <v>80.739999999999995</v>
      </c>
      <c r="D24">
        <v>102.46</v>
      </c>
      <c r="E24" t="s">
        <v>8</v>
      </c>
    </row>
    <row r="25" spans="1:5" x14ac:dyDescent="0.35">
      <c r="A25">
        <v>2029</v>
      </c>
      <c r="B25">
        <v>64.569999999999993</v>
      </c>
      <c r="C25">
        <v>86.54</v>
      </c>
      <c r="D25">
        <v>115.9</v>
      </c>
      <c r="E25" t="s">
        <v>8</v>
      </c>
    </row>
    <row r="26" spans="1:5" x14ac:dyDescent="0.35">
      <c r="A26">
        <v>2030</v>
      </c>
      <c r="B26">
        <v>66.099999999999994</v>
      </c>
      <c r="C26">
        <v>92.66</v>
      </c>
      <c r="D26">
        <v>129.80000000000001</v>
      </c>
      <c r="E26" t="s">
        <v>8</v>
      </c>
    </row>
    <row r="27" spans="1:5" x14ac:dyDescent="0.35">
      <c r="A27">
        <v>2031</v>
      </c>
      <c r="B27">
        <v>68.06</v>
      </c>
      <c r="C27">
        <v>99.27</v>
      </c>
      <c r="D27">
        <v>144.66999999999999</v>
      </c>
      <c r="E27" t="s">
        <v>8</v>
      </c>
    </row>
    <row r="28" spans="1:5" x14ac:dyDescent="0.35">
      <c r="A28">
        <v>2032</v>
      </c>
      <c r="B28">
        <v>70.28</v>
      </c>
      <c r="C28">
        <v>106.3</v>
      </c>
      <c r="D28">
        <v>160.68</v>
      </c>
      <c r="E28" t="s">
        <v>8</v>
      </c>
    </row>
    <row r="29" spans="1:5" x14ac:dyDescent="0.35">
      <c r="A29">
        <v>2033</v>
      </c>
      <c r="B29">
        <v>72.900000000000006</v>
      </c>
      <c r="C29">
        <v>113.75</v>
      </c>
      <c r="D29">
        <v>177.87</v>
      </c>
      <c r="E29" t="s">
        <v>8</v>
      </c>
    </row>
    <row r="30" spans="1:5" x14ac:dyDescent="0.35">
      <c r="A30">
        <v>2034</v>
      </c>
      <c r="B30">
        <v>75.680000000000007</v>
      </c>
      <c r="C30">
        <v>121.87</v>
      </c>
      <c r="D30">
        <v>196.45</v>
      </c>
      <c r="E30" t="s">
        <v>8</v>
      </c>
    </row>
    <row r="31" spans="1:5" x14ac:dyDescent="0.35">
      <c r="A31">
        <v>2035</v>
      </c>
      <c r="B31">
        <v>78.73</v>
      </c>
      <c r="C31">
        <v>130.53</v>
      </c>
      <c r="D31">
        <v>216.54</v>
      </c>
      <c r="E31" t="s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O32"/>
  <sheetViews>
    <sheetView showGridLines="0" zoomScale="55" zoomScaleNormal="80" workbookViewId="0">
      <selection activeCell="M24" sqref="M24:M27"/>
    </sheetView>
  </sheetViews>
  <sheetFormatPr defaultRowHeight="14.5" x14ac:dyDescent="0.35"/>
  <cols>
    <col min="1" max="1" width="4.6328125" customWidth="1"/>
    <col min="5" max="5" width="15.6328125" customWidth="1"/>
    <col min="7" max="7" width="17.6328125" customWidth="1"/>
    <col min="9" max="9" width="15.6328125" customWidth="1"/>
    <col min="10" max="10" width="8.6328125" customWidth="1"/>
    <col min="11" max="11" width="15.6328125" customWidth="1"/>
    <col min="13" max="13" width="15.6328125" customWidth="1"/>
    <col min="15" max="15" width="15.6328125" customWidth="1"/>
  </cols>
  <sheetData>
    <row r="2" spans="2:15" s="1" customFormat="1" ht="20" customHeight="1" x14ac:dyDescent="0.5">
      <c r="B2" s="4" t="s">
        <v>9</v>
      </c>
    </row>
    <row r="3" spans="2:15" ht="5" customHeight="1" x14ac:dyDescent="0.35"/>
    <row r="4" spans="2:15" ht="16" customHeight="1" x14ac:dyDescent="0.35">
      <c r="B4" s="5" t="s">
        <v>10</v>
      </c>
      <c r="C4" s="5"/>
      <c r="D4" s="5"/>
      <c r="E4" s="7" t="s">
        <v>11</v>
      </c>
      <c r="F4" s="7"/>
      <c r="G4" s="7" t="s">
        <v>12</v>
      </c>
      <c r="H4" s="7"/>
      <c r="I4" s="7" t="s">
        <v>13</v>
      </c>
      <c r="J4" s="3"/>
    </row>
    <row r="5" spans="2:15" ht="5" customHeight="1" x14ac:dyDescent="0.35"/>
    <row r="6" spans="2:15" ht="16.5" customHeight="1" x14ac:dyDescent="0.35">
      <c r="B6" s="6" t="s">
        <v>14</v>
      </c>
      <c r="E6" s="12" t="s">
        <v>15</v>
      </c>
      <c r="F6" s="12"/>
      <c r="G6" s="12" t="s">
        <v>16</v>
      </c>
      <c r="H6" s="12"/>
      <c r="I6" s="12" t="s">
        <v>17</v>
      </c>
    </row>
    <row r="7" spans="2:15" ht="14.5" customHeight="1" x14ac:dyDescent="0.35">
      <c r="B7" s="6" t="s">
        <v>18</v>
      </c>
      <c r="E7" s="9">
        <v>1.0200000000000001E-2</v>
      </c>
      <c r="F7" s="10"/>
      <c r="G7" s="9">
        <v>2.8219999999999999E-2</v>
      </c>
      <c r="H7" s="11"/>
      <c r="I7" s="9">
        <v>5.5E-2</v>
      </c>
    </row>
    <row r="8" spans="2:15" ht="16.5" customHeight="1" x14ac:dyDescent="0.35">
      <c r="B8" s="6" t="s">
        <v>19</v>
      </c>
      <c r="E8" s="12" t="s">
        <v>20</v>
      </c>
      <c r="F8" s="12"/>
      <c r="G8" s="12" t="s">
        <v>21</v>
      </c>
      <c r="H8" s="12"/>
      <c r="I8" s="12" t="s">
        <v>22</v>
      </c>
    </row>
    <row r="10" spans="2:15" ht="16.5" customHeight="1" x14ac:dyDescent="0.35">
      <c r="B10" s="5" t="s">
        <v>23</v>
      </c>
      <c r="C10" s="3"/>
      <c r="D10" s="3"/>
      <c r="E10" s="7" t="s">
        <v>24</v>
      </c>
      <c r="F10" s="7"/>
      <c r="G10" s="7" t="s">
        <v>25</v>
      </c>
      <c r="H10" s="7"/>
      <c r="I10" s="7" t="s">
        <v>26</v>
      </c>
      <c r="J10" s="7"/>
      <c r="K10" s="7" t="s">
        <v>27</v>
      </c>
      <c r="L10" s="7"/>
      <c r="M10" s="7" t="s">
        <v>28</v>
      </c>
      <c r="N10" s="3"/>
      <c r="O10" s="7" t="s">
        <v>29</v>
      </c>
    </row>
    <row r="11" spans="2:15" ht="5" customHeight="1" x14ac:dyDescent="0.35"/>
    <row r="12" spans="2:15" x14ac:dyDescent="0.35">
      <c r="B12" s="49" t="s">
        <v>30</v>
      </c>
      <c r="E12" s="13">
        <v>200400</v>
      </c>
      <c r="G12" s="13">
        <v>24923000000</v>
      </c>
      <c r="I12" s="53">
        <f>$E12/$G12</f>
        <v>8.0407655579183883E-6</v>
      </c>
      <c r="K12" s="55">
        <f>GEOMEAN(I12:I15)</f>
        <v>1.0207208601860849E-5</v>
      </c>
      <c r="M12" s="55">
        <f>0.25*DataSources!M7+ 0.25*DataSources!M8 + 0.5*DataSources!M9</f>
        <v>-2.1938515227695838E-3</v>
      </c>
      <c r="O12" s="58">
        <v>0.4</v>
      </c>
    </row>
    <row r="13" spans="2:15" ht="14.5" customHeight="1" x14ac:dyDescent="0.35">
      <c r="B13" s="49" t="s">
        <v>31</v>
      </c>
      <c r="E13" s="13">
        <v>16291</v>
      </c>
      <c r="G13" s="13">
        <v>1852000000</v>
      </c>
      <c r="I13" s="53">
        <f>$E13/$G13</f>
        <v>8.7964362850971915E-6</v>
      </c>
      <c r="K13" s="56"/>
      <c r="M13" s="56"/>
      <c r="O13" s="56"/>
    </row>
    <row r="14" spans="2:15" x14ac:dyDescent="0.35">
      <c r="B14" s="49" t="s">
        <v>32</v>
      </c>
      <c r="E14" s="13">
        <v>460864</v>
      </c>
      <c r="G14" s="13">
        <v>31922000000</v>
      </c>
      <c r="I14" s="53">
        <f>$E14/$G14</f>
        <v>1.4437190652214774E-5</v>
      </c>
      <c r="K14" s="56"/>
      <c r="M14" s="56"/>
      <c r="O14" s="56"/>
    </row>
    <row r="15" spans="2:15" x14ac:dyDescent="0.35">
      <c r="B15" s="49" t="s">
        <v>33</v>
      </c>
      <c r="E15" s="13">
        <v>217026</v>
      </c>
      <c r="G15" s="13">
        <v>20416000000</v>
      </c>
      <c r="I15" s="53">
        <f>$E15/$G15</f>
        <v>1.0630192006269592E-5</v>
      </c>
      <c r="K15" s="57"/>
      <c r="M15" s="57"/>
      <c r="O15" s="57"/>
    </row>
    <row r="16" spans="2:15" x14ac:dyDescent="0.35">
      <c r="B16" s="6"/>
      <c r="I16" s="53"/>
    </row>
    <row r="17" spans="2:15" x14ac:dyDescent="0.35">
      <c r="B17" s="6"/>
      <c r="I17" s="53"/>
    </row>
    <row r="18" spans="2:15" x14ac:dyDescent="0.35">
      <c r="B18" s="49" t="s">
        <v>34</v>
      </c>
      <c r="E18" s="13">
        <v>12159</v>
      </c>
      <c r="G18" s="13">
        <v>402974000</v>
      </c>
      <c r="I18" s="53">
        <f>$E18/$G18</f>
        <v>3.017316253654082E-5</v>
      </c>
      <c r="K18" s="55">
        <f>GEOMEAN(I18:I20)</f>
        <v>4.5272009904706459E-5</v>
      </c>
      <c r="M18" s="55">
        <f>0.25*DataSources!M7 + 0.25*DataSources!M8 + 0.25*DataSources!M10 + 0.25*DataSources!M11</f>
        <v>8.8259463943588055E-3</v>
      </c>
      <c r="O18" s="58">
        <v>0.7</v>
      </c>
    </row>
    <row r="19" spans="2:15" x14ac:dyDescent="0.35">
      <c r="B19" s="49" t="s">
        <v>35</v>
      </c>
      <c r="E19" s="13">
        <v>32339</v>
      </c>
      <c r="G19" s="13">
        <v>871163000</v>
      </c>
      <c r="I19" s="53">
        <f>$E19/$G19</f>
        <v>3.7121640841036635E-5</v>
      </c>
      <c r="K19" s="56"/>
      <c r="M19" s="56"/>
      <c r="O19" s="56"/>
    </row>
    <row r="20" spans="2:15" x14ac:dyDescent="0.35">
      <c r="B20" s="49" t="s">
        <v>36</v>
      </c>
      <c r="E20" s="13">
        <v>140000</v>
      </c>
      <c r="G20" s="13">
        <v>1690000000</v>
      </c>
      <c r="I20" s="53">
        <f>$E20/$G20</f>
        <v>8.2840236686390539E-5</v>
      </c>
      <c r="K20" s="56"/>
      <c r="M20" s="56"/>
      <c r="O20" s="56"/>
    </row>
    <row r="21" spans="2:15" x14ac:dyDescent="0.35">
      <c r="I21" s="53"/>
      <c r="K21" s="57"/>
      <c r="M21" s="57"/>
      <c r="O21" s="57"/>
    </row>
    <row r="22" spans="2:15" x14ac:dyDescent="0.35">
      <c r="B22" s="6"/>
      <c r="I22" s="53"/>
    </row>
    <row r="23" spans="2:15" x14ac:dyDescent="0.35">
      <c r="B23" s="6"/>
      <c r="I23" s="53"/>
    </row>
    <row r="24" spans="2:15" x14ac:dyDescent="0.35">
      <c r="B24" s="49" t="s">
        <v>37</v>
      </c>
      <c r="E24" s="13">
        <v>24000000</v>
      </c>
      <c r="G24" s="13">
        <v>15985000000</v>
      </c>
      <c r="I24" s="53">
        <f>$E24/$G24</f>
        <v>1.5014075695964967E-3</v>
      </c>
      <c r="K24" s="55">
        <f>GEOMEAN(I24:I27)</f>
        <v>1.1895827539310563E-3</v>
      </c>
      <c r="M24" s="55">
        <f>0.25*DataSources!M7 + 0.25*DataSources!M8 + 0.25*DataSources!M12 + 0.25*DataSources!M13</f>
        <v>3.1823119138771239E-3</v>
      </c>
      <c r="O24" s="58">
        <v>1</v>
      </c>
    </row>
    <row r="25" spans="2:15" x14ac:dyDescent="0.35">
      <c r="B25" s="49" t="s">
        <v>38</v>
      </c>
      <c r="E25" s="13">
        <v>49000000</v>
      </c>
      <c r="G25" s="13">
        <v>48755000000</v>
      </c>
      <c r="I25" s="53">
        <f>$E25/$G25</f>
        <v>1.0050251256281408E-3</v>
      </c>
      <c r="K25" s="56"/>
      <c r="M25" s="56"/>
      <c r="O25" s="56"/>
    </row>
    <row r="26" spans="2:15" x14ac:dyDescent="0.35">
      <c r="B26" s="49" t="s">
        <v>39</v>
      </c>
      <c r="E26" s="13">
        <v>32000000</v>
      </c>
      <c r="G26" s="13">
        <v>35641000000</v>
      </c>
      <c r="I26" s="53">
        <f>$E26/$G26</f>
        <v>8.9784237254846944E-4</v>
      </c>
      <c r="K26" s="56"/>
      <c r="M26" s="56"/>
      <c r="O26" s="56"/>
    </row>
    <row r="27" spans="2:15" x14ac:dyDescent="0.35">
      <c r="B27" s="49" t="s">
        <v>40</v>
      </c>
      <c r="E27" s="13">
        <v>22000000</v>
      </c>
      <c r="G27" s="13">
        <v>14884000000</v>
      </c>
      <c r="I27" s="53">
        <f>$E27/$G27</f>
        <v>1.4780972856758936E-3</v>
      </c>
      <c r="K27" s="57"/>
      <c r="M27" s="57"/>
      <c r="O27" s="57"/>
    </row>
    <row r="29" spans="2:15" x14ac:dyDescent="0.35">
      <c r="B29" s="5" t="s">
        <v>41</v>
      </c>
      <c r="C29" s="3"/>
      <c r="D29" s="3"/>
      <c r="E29" s="7" t="s">
        <v>42</v>
      </c>
      <c r="F29" s="7"/>
      <c r="G29" s="7" t="s">
        <v>43</v>
      </c>
      <c r="H29" s="7"/>
      <c r="I29" s="7" t="s">
        <v>44</v>
      </c>
    </row>
    <row r="30" spans="2:15" ht="5" customHeight="1" x14ac:dyDescent="0.35"/>
    <row r="31" spans="2:15" x14ac:dyDescent="0.35">
      <c r="B31" s="6" t="s">
        <v>45</v>
      </c>
      <c r="E31" s="21">
        <v>3.5000000000000003E-2</v>
      </c>
      <c r="F31" s="30"/>
      <c r="G31" s="21">
        <v>1.4999999999999999E-2</v>
      </c>
      <c r="H31" s="30"/>
      <c r="I31" s="21">
        <v>0</v>
      </c>
    </row>
    <row r="32" spans="2:15" ht="5" customHeight="1" x14ac:dyDescent="0.35"/>
  </sheetData>
  <mergeCells count="9">
    <mergeCell ref="M12:M15"/>
    <mergeCell ref="M18:M21"/>
    <mergeCell ref="K18:K21"/>
    <mergeCell ref="O12:O15"/>
    <mergeCell ref="K24:K27"/>
    <mergeCell ref="K12:K15"/>
    <mergeCell ref="O24:O27"/>
    <mergeCell ref="M24:M27"/>
    <mergeCell ref="O18:O21"/>
  </mergeCells>
  <dataValidations count="4">
    <dataValidation allowBlank="1" showInputMessage="1" showErrorMessage="1" prompt="Sector Specific Pass-Through Factor : EUA Exposure_x000a_" sqref="O10" xr:uid="{00000000-0002-0000-0200-000000000000}"/>
    <dataValidation allowBlank="1" showInputMessage="1" showErrorMessage="1" prompt="Sector Activity Growth Index p.a._x000a_" sqref="M10" xr:uid="{00000000-0002-0000-0200-000001000000}"/>
    <dataValidation allowBlank="1" showInputMessage="1" showErrorMessage="1" prompt="Industry Specific Carbon Intensity Factor_x000a_" sqref="K10" xr:uid="{00000000-0002-0000-0200-000002000000}"/>
    <dataValidation allowBlank="1" showInputMessage="1" showErrorMessage="1" prompt="Operational CF_x000a_" sqref="G10" xr:uid="{00000000-0002-0000-0200-000003000000}"/>
  </dataValidations>
  <hyperlinks>
    <hyperlink ref="B12" r:id="rId1" xr:uid="{00000000-0004-0000-0200-000000000000}"/>
    <hyperlink ref="B13" r:id="rId2" location="page=56" xr:uid="{00000000-0004-0000-0200-000001000000}"/>
    <hyperlink ref="B14" r:id="rId3" xr:uid="{00000000-0004-0000-0200-000002000000}"/>
    <hyperlink ref="B15" r:id="rId4" xr:uid="{00000000-0004-0000-0200-000003000000}"/>
    <hyperlink ref="B18" r:id="rId5" xr:uid="{00000000-0004-0000-0200-000004000000}"/>
    <hyperlink ref="B19" r:id="rId6" xr:uid="{00000000-0004-0000-0200-000005000000}"/>
    <hyperlink ref="B20" r:id="rId7" xr:uid="{00000000-0004-0000-0200-000006000000}"/>
    <hyperlink ref="B24" r:id="rId8" xr:uid="{00000000-0004-0000-0200-000007000000}"/>
    <hyperlink ref="B25" r:id="rId9" xr:uid="{00000000-0004-0000-0200-000008000000}"/>
    <hyperlink ref="B26" r:id="rId10" xr:uid="{00000000-0004-0000-0200-000009000000}"/>
    <hyperlink ref="B27" r:id="rId11" xr:uid="{00000000-0004-0000-0200-00000A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XFD19"/>
  <sheetViews>
    <sheetView showGridLines="0" zoomScale="75" workbookViewId="0">
      <selection activeCell="C7" sqref="C7"/>
    </sheetView>
  </sheetViews>
  <sheetFormatPr defaultColWidth="15.6328125" defaultRowHeight="14.5" x14ac:dyDescent="0.35"/>
  <cols>
    <col min="1" max="1" width="4.6328125" customWidth="1"/>
    <col min="2" max="2" width="20.6328125" customWidth="1"/>
  </cols>
  <sheetData>
    <row r="2" spans="2:6 16382:16384" s="1" customFormat="1" ht="21" customHeight="1" x14ac:dyDescent="0.5">
      <c r="B2" s="4" t="s">
        <v>46</v>
      </c>
    </row>
    <row r="3" spans="2:6 16382:16384" s="3" customFormat="1" ht="5" customHeight="1" x14ac:dyDescent="0.35"/>
    <row r="6" spans="2:6 16382:16384" x14ac:dyDescent="0.35">
      <c r="B6" s="5" t="s">
        <v>47</v>
      </c>
      <c r="C6" s="35" t="s">
        <v>8</v>
      </c>
      <c r="XFB6" t="s">
        <v>6</v>
      </c>
      <c r="XFC6" t="s">
        <v>7</v>
      </c>
      <c r="XFD6" t="s">
        <v>8</v>
      </c>
    </row>
    <row r="7" spans="2:6 16382:16384" x14ac:dyDescent="0.35">
      <c r="B7" s="5" t="s">
        <v>48</v>
      </c>
      <c r="C7" s="35" t="s">
        <v>4</v>
      </c>
      <c r="XFB7" t="s">
        <v>2</v>
      </c>
      <c r="XFC7" t="s">
        <v>3</v>
      </c>
      <c r="XFD7" t="s">
        <v>4</v>
      </c>
    </row>
    <row r="9" spans="2:6 16382:16384" x14ac:dyDescent="0.35">
      <c r="B9" s="41" t="s">
        <v>1</v>
      </c>
      <c r="C9" s="40" t="s">
        <v>49</v>
      </c>
    </row>
    <row r="10" spans="2:6 16382:16384" x14ac:dyDescent="0.35">
      <c r="B10" s="42">
        <f t="array" ref="B10:B19">_xlfn._xlws.SORT(_xlfn.UNIQUE(_xlfn._xlws.FILTER(MC_SIM_OUT!A2:A31, MC_SIM_OUT!E2:E31=$C$6)))</f>
        <v>2026</v>
      </c>
      <c r="C10" s="37">
        <f t="array" ref="C10:C19">_xlfn.SORTBY(_xlfn._xlws.FILTER(CHOOSE(MATCH($C$7, {"P25";"P50";"P75"}, 0), MC_SIM_OUT!B2:B31, MC_SIM_OUT!C2:C31, MC_SIM_OUT!D2:D31), MC_SIM_OUT!E2:E31=$C$6), _xlfn._xlws.FILTER(MC_SIM_OUT!A2:A31, MC_SIM_OUT!E2:E31=$C$6),1)</f>
        <v>70.37</v>
      </c>
      <c r="F10" s="34"/>
    </row>
    <row r="11" spans="2:6 16382:16384" x14ac:dyDescent="0.35">
      <c r="B11" s="43">
        <v>2027</v>
      </c>
      <c r="C11" s="38">
        <v>89.25</v>
      </c>
    </row>
    <row r="12" spans="2:6 16382:16384" x14ac:dyDescent="0.35">
      <c r="B12" s="43">
        <v>2028</v>
      </c>
      <c r="C12" s="38">
        <v>102.46</v>
      </c>
    </row>
    <row r="13" spans="2:6 16382:16384" x14ac:dyDescent="0.35">
      <c r="B13" s="43">
        <v>2029</v>
      </c>
      <c r="C13" s="38">
        <v>115.9</v>
      </c>
    </row>
    <row r="14" spans="2:6 16382:16384" x14ac:dyDescent="0.35">
      <c r="B14" s="43">
        <v>2030</v>
      </c>
      <c r="C14" s="38">
        <v>129.80000000000001</v>
      </c>
    </row>
    <row r="15" spans="2:6 16382:16384" x14ac:dyDescent="0.35">
      <c r="B15" s="43">
        <v>2031</v>
      </c>
      <c r="C15" s="38">
        <v>144.66999999999999</v>
      </c>
    </row>
    <row r="16" spans="2:6 16382:16384" x14ac:dyDescent="0.35">
      <c r="B16" s="43">
        <v>2032</v>
      </c>
      <c r="C16" s="38">
        <v>160.68</v>
      </c>
    </row>
    <row r="17" spans="2:3" x14ac:dyDescent="0.35">
      <c r="B17" s="43">
        <v>2033</v>
      </c>
      <c r="C17" s="38">
        <v>177.87</v>
      </c>
    </row>
    <row r="18" spans="2:3" x14ac:dyDescent="0.35">
      <c r="B18" s="43">
        <v>2034</v>
      </c>
      <c r="C18" s="38">
        <v>196.45</v>
      </c>
    </row>
    <row r="19" spans="2:3" x14ac:dyDescent="0.35">
      <c r="B19" s="44">
        <v>2035</v>
      </c>
      <c r="C19" s="39">
        <v>216.54</v>
      </c>
    </row>
  </sheetData>
  <dataValidations count="2">
    <dataValidation type="list" allowBlank="1" showInputMessage="1" showErrorMessage="1" sqref="C6" xr:uid="{00000000-0002-0000-0300-000000000000}">
      <formula1>$XFB$6:$XFD$6</formula1>
    </dataValidation>
    <dataValidation type="list" allowBlank="1" showInputMessage="1" showErrorMessage="1" sqref="C7" xr:uid="{00000000-0002-0000-0300-000001000000}">
      <formula1>$XFB$7:$XFD$7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P38"/>
  <sheetViews>
    <sheetView showGridLines="0" tabSelected="1" zoomScale="57" zoomScaleNormal="53" workbookViewId="0">
      <selection activeCell="E17" sqref="E17"/>
    </sheetView>
  </sheetViews>
  <sheetFormatPr defaultColWidth="15.6328125" defaultRowHeight="14.5" x14ac:dyDescent="0.35"/>
  <cols>
    <col min="1" max="1" width="4.6328125" customWidth="1"/>
    <col min="2" max="2" width="20.6328125" customWidth="1"/>
    <col min="3" max="3" width="18.54296875" bestFit="1" customWidth="1"/>
    <col min="7" max="16" width="15.7265625" bestFit="1" customWidth="1"/>
  </cols>
  <sheetData>
    <row r="2" spans="2:16" s="1" customFormat="1" ht="21" customHeight="1" x14ac:dyDescent="0.5">
      <c r="B2" s="4" t="s">
        <v>50</v>
      </c>
    </row>
    <row r="3" spans="2:16" s="15" customFormat="1" ht="4" customHeight="1" x14ac:dyDescent="0.35"/>
    <row r="5" spans="2:16" ht="16.5" customHeight="1" x14ac:dyDescent="0.4">
      <c r="B5" s="17" t="s">
        <v>51</v>
      </c>
      <c r="C5" s="18" t="s">
        <v>25</v>
      </c>
      <c r="D5" s="18" t="s">
        <v>52</v>
      </c>
      <c r="E5" s="18" t="s">
        <v>53</v>
      </c>
      <c r="F5" s="18"/>
      <c r="G5" s="18">
        <v>2026</v>
      </c>
      <c r="H5" s="18">
        <f t="shared" ref="H5:P5" si="0">G5+1</f>
        <v>2027</v>
      </c>
      <c r="I5" s="18">
        <f t="shared" si="0"/>
        <v>2028</v>
      </c>
      <c r="J5" s="18">
        <f t="shared" si="0"/>
        <v>2029</v>
      </c>
      <c r="K5" s="18">
        <f t="shared" si="0"/>
        <v>2030</v>
      </c>
      <c r="L5" s="18">
        <f t="shared" si="0"/>
        <v>2031</v>
      </c>
      <c r="M5" s="18">
        <f t="shared" si="0"/>
        <v>2032</v>
      </c>
      <c r="N5" s="18">
        <f t="shared" si="0"/>
        <v>2033</v>
      </c>
      <c r="O5" s="18">
        <f t="shared" si="0"/>
        <v>2034</v>
      </c>
      <c r="P5" s="18">
        <f t="shared" si="0"/>
        <v>2035</v>
      </c>
    </row>
    <row r="7" spans="2:16" ht="18.5" customHeight="1" x14ac:dyDescent="0.45">
      <c r="B7" s="16" t="s">
        <v>54</v>
      </c>
    </row>
    <row r="8" spans="2:16" ht="5" customHeight="1" x14ac:dyDescent="0.35">
      <c r="B8" s="14"/>
    </row>
    <row r="9" spans="2:16" x14ac:dyDescent="0.35">
      <c r="B9" s="6" t="s">
        <v>55</v>
      </c>
      <c r="C9" s="13">
        <v>20416000000</v>
      </c>
      <c r="D9" s="26">
        <f>$C9*Assumptions!$K$12</f>
        <v>208390.3708155911</v>
      </c>
      <c r="E9" s="31">
        <f>Assumptions!$E$31</f>
        <v>3.5000000000000003E-2</v>
      </c>
      <c r="G9" s="26">
        <f>$D9*((1-$E9)*(1+Assumptions!$M$12))^1</f>
        <v>200655.53151833315</v>
      </c>
      <c r="H9" s="26">
        <f>$D9*((1-$E9)*(1+Assumptions!$M$12))^2</f>
        <v>193207.78676733593</v>
      </c>
      <c r="I9" s="26">
        <f>$D9*((1-$E9)*(1+Assumptions!$M$12))^3</f>
        <v>186036.48045517108</v>
      </c>
      <c r="J9" s="26">
        <f>$D9*((1-$E9)*(1+Assumptions!$M$12))^4</f>
        <v>179131.35199786065</v>
      </c>
      <c r="K9" s="26">
        <f>$D9*((1-$E9)*(1+Assumptions!$M$12))^5</f>
        <v>172482.52165420671</v>
      </c>
      <c r="L9" s="26">
        <f>$D9*((1-$E9)*(1+Assumptions!$M$12))^6</f>
        <v>166080.47639002462</v>
      </c>
      <c r="M9" s="26">
        <f>$D9*((1-$E9)*(1+Assumptions!$M$12))^7</f>
        <v>159916.05626705429</v>
      </c>
      <c r="N9" s="26">
        <f>$D9*((1-$E9)*(1+Assumptions!$M$12))^8</f>
        <v>153980.44133707508</v>
      </c>
      <c r="O9" s="26">
        <f>$D9*((1-$E9)*(1+Assumptions!$M$12))^9</f>
        <v>148265.13902247301</v>
      </c>
      <c r="P9" s="26">
        <f>$D9*((1-$E9)*(1+Assumptions!$M$12))^10</f>
        <v>142761.97196520402</v>
      </c>
    </row>
    <row r="10" spans="2:16" x14ac:dyDescent="0.35">
      <c r="B10" s="6" t="s">
        <v>56</v>
      </c>
      <c r="C10" s="13">
        <v>8084000000</v>
      </c>
      <c r="D10" s="26">
        <f>$C10*Assumptions!$K$12</f>
        <v>82515.074337443104</v>
      </c>
      <c r="E10" s="31">
        <f>Assumptions!$E$31</f>
        <v>3.5000000000000003E-2</v>
      </c>
      <c r="G10" s="26">
        <f>$D10*((1-$E10)*(1+Assumptions!$M$12))^1</f>
        <v>79452.356817897977</v>
      </c>
      <c r="H10" s="26">
        <f>$D10*((1-$E10)*(1+Assumptions!$M$12))^2</f>
        <v>76503.31838886872</v>
      </c>
      <c r="I10" s="26">
        <f>$D10*((1-$E10)*(1+Assumptions!$M$12))^3</f>
        <v>73663.739615968021</v>
      </c>
      <c r="J10" s="26">
        <f>$D10*((1-$E10)*(1+Assumptions!$M$12))^4</f>
        <v>70929.557677836274</v>
      </c>
      <c r="K10" s="26">
        <f>$D10*((1-$E10)*(1+Assumptions!$M$12))^5</f>
        <v>68296.860553125342</v>
      </c>
      <c r="L10" s="26">
        <f>$D10*((1-$E10)*(1+Assumptions!$M$12))^6</f>
        <v>65761.881423244471</v>
      </c>
      <c r="M10" s="26">
        <f>$D10*((1-$E10)*(1+Assumptions!$M$12))^7</f>
        <v>63320.993282859854</v>
      </c>
      <c r="N10" s="26">
        <f>$D10*((1-$E10)*(1+Assumptions!$M$12))^8</f>
        <v>60970.703750436667</v>
      </c>
      <c r="O10" s="26">
        <f>$D10*((1-$E10)*(1+Assumptions!$M$12))^9</f>
        <v>58707.650071398508</v>
      </c>
      <c r="P10" s="26">
        <f>$D10*((1-$E10)*(1+Assumptions!$M$12))^10</f>
        <v>56528.59430675496</v>
      </c>
    </row>
    <row r="11" spans="2:16" x14ac:dyDescent="0.35">
      <c r="B11" s="6" t="s">
        <v>30</v>
      </c>
      <c r="C11" s="13">
        <v>24923000000</v>
      </c>
      <c r="D11" s="26">
        <f>$C11*Assumptions!$K$12</f>
        <v>254394.25998417794</v>
      </c>
      <c r="E11" s="31">
        <f>Assumptions!$E$31</f>
        <v>3.5000000000000003E-2</v>
      </c>
      <c r="G11" s="26">
        <f>$D11*((1-$E11)*(1+Assumptions!$M$12))^1</f>
        <v>244951.89126329432</v>
      </c>
      <c r="H11" s="26">
        <f>$D11*((1-$E11)*(1+Assumptions!$M$12))^2</f>
        <v>235859.99557221364</v>
      </c>
      <c r="I11" s="26">
        <f>$D11*((1-$E11)*(1+Assumptions!$M$12))^3</f>
        <v>227105.56438010526</v>
      </c>
      <c r="J11" s="26">
        <f>$D11*((1-$E11)*(1+Assumptions!$M$12))^4</f>
        <v>218676.0719946454</v>
      </c>
      <c r="K11" s="26">
        <f>$D11*((1-$E11)*(1+Assumptions!$M$12))^5</f>
        <v>210559.45764046797</v>
      </c>
      <c r="L11" s="26">
        <f>$D11*((1-$E11)*(1+Assumptions!$M$12))^6</f>
        <v>202744.10820281072</v>
      </c>
      <c r="M11" s="26">
        <f>$D11*((1-$E11)*(1+Assumptions!$M$12))^7</f>
        <v>195218.84161166701</v>
      </c>
      <c r="N11" s="26">
        <f>$D11*((1-$E11)*(1+Assumptions!$M$12))^8</f>
        <v>187972.89084266862</v>
      </c>
      <c r="O11" s="26">
        <f>$D11*((1-$E11)*(1+Assumptions!$M$12))^9</f>
        <v>180995.88851180911</v>
      </c>
      <c r="P11" s="26">
        <f>$D11*((1-$E11)*(1+Assumptions!$M$12))^10</f>
        <v>174277.85204196608</v>
      </c>
    </row>
    <row r="12" spans="2:16" x14ac:dyDescent="0.35">
      <c r="B12" s="6" t="s">
        <v>57</v>
      </c>
      <c r="C12" s="13">
        <v>23429000000</v>
      </c>
      <c r="D12" s="26">
        <f>$C12*Assumptions!$K$12</f>
        <v>239144.69033299785</v>
      </c>
      <c r="E12" s="31">
        <f>Assumptions!$E$31</f>
        <v>3.5000000000000003E-2</v>
      </c>
      <c r="G12" s="26">
        <f>$D12*((1-$E12)*(1+Assumptions!$M$12))^1</f>
        <v>230268.34090630035</v>
      </c>
      <c r="H12" s="26">
        <f>$D12*((1-$E12)*(1+Assumptions!$M$12))^2</f>
        <v>221721.45553349893</v>
      </c>
      <c r="I12" s="26">
        <f>$D12*((1-$E12)*(1+Assumptions!$M$12))^3</f>
        <v>213491.80547532346</v>
      </c>
      <c r="J12" s="26">
        <f>$D12*((1-$E12)*(1+Assumptions!$M$12))^4</f>
        <v>205567.61588743521</v>
      </c>
      <c r="K12" s="26">
        <f>$D12*((1-$E12)*(1+Assumptions!$M$12))^5</f>
        <v>197937.54897317835</v>
      </c>
      <c r="L12" s="26">
        <f>$D12*((1-$E12)*(1+Assumptions!$M$12))^6</f>
        <v>190590.68776165199</v>
      </c>
      <c r="M12" s="26">
        <f>$D12*((1-$E12)*(1+Assumptions!$M$12))^7</f>
        <v>183516.52048789259</v>
      </c>
      <c r="N12" s="26">
        <f>$D12*((1-$E12)*(1+Assumptions!$M$12))^8</f>
        <v>176704.92555281802</v>
      </c>
      <c r="O12" s="26">
        <f>$D12*((1-$E12)*(1+Assumptions!$M$12))^9</f>
        <v>170146.15704141461</v>
      </c>
      <c r="P12" s="26">
        <f>$D12*((1-$E12)*(1+Assumptions!$M$12))^10</f>
        <v>163830.83077844657</v>
      </c>
    </row>
    <row r="13" spans="2:16" x14ac:dyDescent="0.35">
      <c r="B13" s="6" t="s">
        <v>58</v>
      </c>
      <c r="C13" s="13">
        <v>12334000000</v>
      </c>
      <c r="D13" s="26">
        <f>$C13*Assumptions!$K$12</f>
        <v>125895.71089535172</v>
      </c>
      <c r="E13" s="31">
        <f>Assumptions!$E$31</f>
        <v>3.5000000000000003E-2</v>
      </c>
      <c r="G13" s="26">
        <f>$D13*((1-$E13)*(1+Assumptions!$M$12))^1</f>
        <v>121222.8313943535</v>
      </c>
      <c r="H13" s="26">
        <f>$D13*((1-$E13)*(1+Assumptions!$M$12))^2</f>
        <v>116723.39547356591</v>
      </c>
      <c r="I13" s="26">
        <f>$D13*((1-$E13)*(1+Assumptions!$M$12))^3</f>
        <v>112390.96541605017</v>
      </c>
      <c r="J13" s="26">
        <f>$D13*((1-$E13)*(1+Assumptions!$M$12))^4</f>
        <v>108219.3424540367</v>
      </c>
      <c r="K13" s="26">
        <f>$D13*((1-$E13)*(1+Assumptions!$M$12))^5</f>
        <v>104202.55789983275</v>
      </c>
      <c r="L13" s="26">
        <f>$D13*((1-$E13)*(1+Assumptions!$M$12))^6</f>
        <v>100334.86460592494</v>
      </c>
      <c r="M13" s="26">
        <f>$D13*((1-$E13)*(1+Assumptions!$M$12))^7</f>
        <v>96610.728742057574</v>
      </c>
      <c r="N13" s="26">
        <f>$D13*((1-$E13)*(1+Assumptions!$M$12))^8</f>
        <v>93024.821877521754</v>
      </c>
      <c r="O13" s="26">
        <f>$D13*((1-$E13)*(1+Assumptions!$M$12))^9</f>
        <v>89572.013357326723</v>
      </c>
      <c r="P13" s="26">
        <f>$D13*((1-$E13)*(1+Assumptions!$M$12))^10</f>
        <v>86247.362961345338</v>
      </c>
    </row>
    <row r="14" spans="2:16" x14ac:dyDescent="0.35">
      <c r="B14" s="6" t="s">
        <v>31</v>
      </c>
      <c r="C14" s="13">
        <v>1852000000</v>
      </c>
      <c r="D14" s="26">
        <f>$C14*Assumptions!$K$12</f>
        <v>18903.750330646293</v>
      </c>
      <c r="E14" s="31">
        <f>Assumptions!$E$31</f>
        <v>3.5000000000000003E-2</v>
      </c>
      <c r="G14" s="26">
        <f>$D14*((1-$E14)*(1+Assumptions!$M$12))^1</f>
        <v>18202.098568375441</v>
      </c>
      <c r="H14" s="26">
        <f>$D14*((1-$E14)*(1+Assumptions!$M$12))^2</f>
        <v>17526.490061378634</v>
      </c>
      <c r="I14" s="26">
        <f>$D14*((1-$E14)*(1+Assumptions!$M$12))^3</f>
        <v>16875.958160412269</v>
      </c>
      <c r="J14" s="26">
        <f>$D14*((1-$E14)*(1+Assumptions!$M$12))^4</f>
        <v>16249.572095417217</v>
      </c>
      <c r="K14" s="26">
        <f>$D14*((1-$E14)*(1+Assumptions!$M$12))^5</f>
        <v>15646.435643788736</v>
      </c>
      <c r="L14" s="26">
        <f>$D14*((1-$E14)*(1+Assumptions!$M$12))^6</f>
        <v>15065.685848076293</v>
      </c>
      <c r="M14" s="26">
        <f>$D14*((1-$E14)*(1+Assumptions!$M$12))^7</f>
        <v>14506.49178127863</v>
      </c>
      <c r="N14" s="26">
        <f>$D14*((1-$E14)*(1+Assumptions!$M$12))^8</f>
        <v>13968.053357967432</v>
      </c>
      <c r="O14" s="26">
        <f>$D14*((1-$E14)*(1+Assumptions!$M$12))^9</f>
        <v>13449.6001895386</v>
      </c>
      <c r="P14" s="26">
        <f>$D14*((1-$E14)*(1+Assumptions!$M$12))^10</f>
        <v>12950.390481953264</v>
      </c>
    </row>
    <row r="15" spans="2:16" x14ac:dyDescent="0.35">
      <c r="B15" s="6" t="s">
        <v>59</v>
      </c>
      <c r="C15" s="13">
        <v>9519000000</v>
      </c>
      <c r="D15" s="26">
        <f>$C15*Assumptions!$K$12</f>
        <v>97162.418681113428</v>
      </c>
      <c r="E15" s="31">
        <f>Assumptions!$E$31</f>
        <v>3.5000000000000003E-2</v>
      </c>
      <c r="G15" s="26">
        <f>$D15*((1-$E15)*(1+Assumptions!$M$12))^1</f>
        <v>93556.034704301201</v>
      </c>
      <c r="H15" s="26">
        <f>$D15*((1-$E15)*(1+Assumptions!$M$12))^2</f>
        <v>90083.509122172356</v>
      </c>
      <c r="I15" s="26">
        <f>$D15*((1-$E15)*(1+Assumptions!$M$12))^3</f>
        <v>86739.873503760464</v>
      </c>
      <c r="J15" s="26">
        <f>$D15*((1-$E15)*(1+Assumptions!$M$12))^4</f>
        <v>83520.343831682767</v>
      </c>
      <c r="K15" s="26">
        <f>$D15*((1-$E15)*(1+Assumptions!$M$12))^5</f>
        <v>80420.313657248902</v>
      </c>
      <c r="L15" s="26">
        <f>$D15*((1-$E15)*(1+Assumptions!$M$12))^6</f>
        <v>77435.347509631887</v>
      </c>
      <c r="M15" s="26">
        <f>$D15*((1-$E15)*(1+Assumptions!$M$12))^7</f>
        <v>74561.174549671327</v>
      </c>
      <c r="N15" s="26">
        <f>$D15*((1-$E15)*(1+Assumptions!$M$12))^8</f>
        <v>71793.682459228934</v>
      </c>
      <c r="O15" s="26">
        <f>$D15*((1-$E15)*(1+Assumptions!$M$12))^9</f>
        <v>69128.911557353087</v>
      </c>
      <c r="P15" s="26">
        <f>$D15*((1-$E15)*(1+Assumptions!$M$12))^10</f>
        <v>66563.049134834306</v>
      </c>
    </row>
    <row r="16" spans="2:16" x14ac:dyDescent="0.35">
      <c r="B16" s="6" t="s">
        <v>60</v>
      </c>
      <c r="C16" s="13">
        <v>467800000</v>
      </c>
      <c r="D16" s="26">
        <f>$C16*Assumptions!$K$12</f>
        <v>4774.9321839505055</v>
      </c>
      <c r="E16" s="31">
        <f>Assumptions!$G$31</f>
        <v>1.4999999999999999E-2</v>
      </c>
      <c r="G16" s="26">
        <f>$D16*((1-$E16)*(1+Assumptions!$M$12))^1</f>
        <v>4692.9898413320097</v>
      </c>
      <c r="H16" s="26">
        <f>$D16*((1-$E16)*(1+Assumptions!$M$12))^2</f>
        <v>4612.453706645927</v>
      </c>
      <c r="I16" s="26">
        <f>$D16*((1-$E16)*(1+Assumptions!$M$12))^3</f>
        <v>4533.2996480370293</v>
      </c>
      <c r="J16" s="26">
        <f>$D16*((1-$E16)*(1+Assumptions!$M$12))^4</f>
        <v>4455.5039477754972</v>
      </c>
      <c r="K16" s="26">
        <f>$D16*((1-$E16)*(1+Assumptions!$M$12))^5</f>
        <v>4379.0432951501398</v>
      </c>
      <c r="L16" s="26">
        <f>$D16*((1-$E16)*(1+Assumptions!$M$12))^6</f>
        <v>4303.8947794835685</v>
      </c>
      <c r="M16" s="26">
        <f>$D16*((1-$E16)*(1+Assumptions!$M$12))^7</f>
        <v>4230.0358832672418</v>
      </c>
      <c r="N16" s="26">
        <f>$D16*((1-$E16)*(1+Assumptions!$M$12))^8</f>
        <v>4157.444475414316</v>
      </c>
      <c r="O16" s="26">
        <f>$D16*((1-$E16)*(1+Assumptions!$M$12))^9</f>
        <v>4086.0988046282819</v>
      </c>
      <c r="P16" s="26">
        <f>$D16*((1-$E16)*(1+Assumptions!$M$12))^10</f>
        <v>4015.9774928854076</v>
      </c>
    </row>
    <row r="17" spans="2:16" x14ac:dyDescent="0.35">
      <c r="B17" s="6" t="s">
        <v>61</v>
      </c>
      <c r="C17" s="13">
        <v>24459000000</v>
      </c>
      <c r="D17" s="26">
        <f>$C17*Assumptions!$K$12</f>
        <v>249658.11519291453</v>
      </c>
      <c r="E17" s="31">
        <f>Assumptions!$G$31</f>
        <v>1.4999999999999999E-2</v>
      </c>
      <c r="G17" s="26">
        <f>$D17*((1-$E17)*(1+Assumptions!$M$12))^1</f>
        <v>245373.74632137586</v>
      </c>
      <c r="H17" s="26">
        <f>$D17*((1-$E17)*(1+Assumptions!$M$12))^2</f>
        <v>241162.90126304561</v>
      </c>
      <c r="I17" s="26">
        <f>$D17*((1-$E17)*(1+Assumptions!$M$12))^3</f>
        <v>237024.31827990102</v>
      </c>
      <c r="J17" s="26">
        <f>$D17*((1-$E17)*(1+Assumptions!$M$12))^4</f>
        <v>232956.75728653462</v>
      </c>
      <c r="K17" s="26">
        <f>$D17*((1-$E17)*(1+Assumptions!$M$12))^5</f>
        <v>228958.99947857475</v>
      </c>
      <c r="L17" s="26">
        <f>$D17*((1-$E17)*(1+Assumptions!$M$12))^6</f>
        <v>225029.84696748311</v>
      </c>
      <c r="M17" s="26">
        <f>$D17*((1-$E17)*(1+Assumptions!$M$12))^7</f>
        <v>221168.12242161922</v>
      </c>
      <c r="N17" s="26">
        <f>$D17*((1-$E17)*(1+Assumptions!$M$12))^8</f>
        <v>217372.66871346463</v>
      </c>
      <c r="O17" s="26">
        <f>$D17*((1-$E17)*(1+Assumptions!$M$12))^9</f>
        <v>213642.34857290113</v>
      </c>
      <c r="P17" s="26">
        <f>$D17*((1-$E17)*(1+Assumptions!$M$12))^10</f>
        <v>209976.04424643904</v>
      </c>
    </row>
    <row r="18" spans="2:16" x14ac:dyDescent="0.35">
      <c r="B18" s="6" t="s">
        <v>32</v>
      </c>
      <c r="C18" s="13">
        <v>31922000000</v>
      </c>
      <c r="D18" s="26">
        <f>$C18*Assumptions!$K$12</f>
        <v>325834.51298860204</v>
      </c>
      <c r="E18" s="31">
        <f>Assumptions!$G$31</f>
        <v>1.4999999999999999E-2</v>
      </c>
      <c r="G18" s="26">
        <f>$D18*((1-$E18)*(1+Assumptions!$M$12))^1</f>
        <v>320242.88523941947</v>
      </c>
      <c r="H18" s="26">
        <f>$D18*((1-$E18)*(1+Assumptions!$M$12))^2</f>
        <v>314747.21509951109</v>
      </c>
      <c r="I18" s="26">
        <f>$D18*((1-$E18)*(1+Assumptions!$M$12))^3</f>
        <v>309345.85584574187</v>
      </c>
      <c r="J18" s="26">
        <f>$D18*((1-$E18)*(1+Assumptions!$M$12))^4</f>
        <v>304037.18901429977</v>
      </c>
      <c r="K18" s="26">
        <f>$D18*((1-$E18)*(1+Assumptions!$M$12))^5</f>
        <v>298819.62391573912</v>
      </c>
      <c r="L18" s="26">
        <f>$D18*((1-$E18)*(1+Assumptions!$M$12))^6</f>
        <v>293691.59715834644</v>
      </c>
      <c r="M18" s="26">
        <f>$D18*((1-$E18)*(1+Assumptions!$M$12))^7</f>
        <v>288651.57217968552</v>
      </c>
      <c r="N18" s="26">
        <f>$D18*((1-$E18)*(1+Assumptions!$M$12))^8</f>
        <v>283698.03878618166</v>
      </c>
      <c r="O18" s="26">
        <f>$D18*((1-$E18)*(1+Assumptions!$M$12))^9</f>
        <v>278829.51270060713</v>
      </c>
      <c r="P18" s="26">
        <f>$D18*((1-$E18)*(1+Assumptions!$M$12))^10</f>
        <v>274044.53511733213</v>
      </c>
    </row>
    <row r="19" spans="2:16" x14ac:dyDescent="0.35">
      <c r="B19" s="50"/>
      <c r="C19" s="52"/>
      <c r="D19" s="26"/>
      <c r="E19" s="26"/>
      <c r="G19" s="26"/>
      <c r="H19" s="26"/>
      <c r="I19" s="26"/>
      <c r="J19" s="26"/>
      <c r="K19" s="26"/>
      <c r="L19" s="26"/>
      <c r="M19" s="26"/>
      <c r="N19" s="26"/>
      <c r="O19" s="26"/>
      <c r="P19" s="26"/>
    </row>
    <row r="20" spans="2:16" x14ac:dyDescent="0.35">
      <c r="D20" s="26"/>
      <c r="G20" s="26"/>
      <c r="H20" s="26"/>
      <c r="I20" s="26"/>
      <c r="J20" s="26"/>
      <c r="K20" s="26"/>
      <c r="L20" s="26"/>
      <c r="M20" s="26"/>
      <c r="N20" s="26"/>
      <c r="O20" s="26"/>
      <c r="P20" s="26"/>
    </row>
    <row r="21" spans="2:16" ht="18.5" customHeight="1" x14ac:dyDescent="0.45">
      <c r="B21" s="24" t="s">
        <v>62</v>
      </c>
      <c r="D21" s="26"/>
      <c r="G21" s="26"/>
      <c r="H21" s="26"/>
      <c r="I21" s="26"/>
      <c r="J21" s="26"/>
      <c r="K21" s="26"/>
      <c r="L21" s="26"/>
      <c r="M21" s="26"/>
      <c r="N21" s="26"/>
      <c r="O21" s="26"/>
      <c r="P21" s="26"/>
    </row>
    <row r="22" spans="2:16" ht="5" customHeight="1" x14ac:dyDescent="0.35">
      <c r="D22" s="26"/>
      <c r="G22" s="26"/>
      <c r="H22" s="26"/>
      <c r="I22" s="26"/>
      <c r="J22" s="26"/>
      <c r="K22" s="26"/>
      <c r="L22" s="26"/>
      <c r="M22" s="26"/>
      <c r="N22" s="26"/>
      <c r="O22" s="26"/>
      <c r="P22" s="26"/>
    </row>
    <row r="23" spans="2:16" x14ac:dyDescent="0.35">
      <c r="B23" s="50"/>
      <c r="C23" s="52"/>
      <c r="D23" s="26"/>
      <c r="E23" s="31"/>
      <c r="G23" s="26"/>
      <c r="H23" s="26"/>
      <c r="I23" s="26"/>
      <c r="J23" s="26"/>
      <c r="K23" s="26"/>
      <c r="L23" s="26"/>
      <c r="M23" s="26"/>
      <c r="N23" s="26"/>
      <c r="O23" s="26"/>
      <c r="P23" s="26"/>
    </row>
    <row r="24" spans="2:16" x14ac:dyDescent="0.35">
      <c r="B24" s="6" t="s">
        <v>63</v>
      </c>
      <c r="C24" s="13">
        <v>125000000</v>
      </c>
      <c r="D24" s="26">
        <f>$C24*Assumptions!$K$18</f>
        <v>5659.0012380883072</v>
      </c>
      <c r="E24" s="31">
        <f>Assumptions!$E$31</f>
        <v>3.5000000000000003E-2</v>
      </c>
      <c r="G24" s="26">
        <f>$D24*((1-$E24)*(1+Assumptions!$M$18))^1</f>
        <v>5509.1341248731387</v>
      </c>
      <c r="H24" s="26">
        <f>$D24*((1-$E24)*(1+Assumptions!$M$18))^2</f>
        <v>5363.23593668175</v>
      </c>
      <c r="I24" s="26">
        <f>$D24*((1-$E24)*(1+Assumptions!$M$18))^3</f>
        <v>5221.2015646246291</v>
      </c>
      <c r="J24" s="26">
        <f>$D24*((1-$E24)*(1+Assumptions!$M$18))^4</f>
        <v>5082.9286834069626</v>
      </c>
      <c r="K24" s="26">
        <f>$D24*((1-$E24)*(1+Assumptions!$M$18))^5</f>
        <v>4948.3176776108039</v>
      </c>
      <c r="L24" s="26">
        <f>$D24*((1-$E24)*(1+Assumptions!$M$18))^6</f>
        <v>4817.2715699295068</v>
      </c>
      <c r="M24" s="26">
        <f>$D24*((1-$E24)*(1+Assumptions!$M$18))^7</f>
        <v>4689.695951302725</v>
      </c>
      <c r="N24" s="26">
        <f>$D24*((1-$E24)*(1+Assumptions!$M$18))^8</f>
        <v>4565.4989129016476</v>
      </c>
      <c r="O24" s="26">
        <f>$D24*((1-$E24)*(1+Assumptions!$M$18))^9</f>
        <v>4444.5909799154551</v>
      </c>
      <c r="P24" s="26">
        <f>$D24*((1-$E24)*(1+Assumptions!$M$18))^10</f>
        <v>4326.885047091323</v>
      </c>
    </row>
    <row r="25" spans="2:16" x14ac:dyDescent="0.35">
      <c r="B25" s="6" t="s">
        <v>64</v>
      </c>
      <c r="C25" s="13">
        <v>7925000000</v>
      </c>
      <c r="D25" s="26">
        <f>$C25*Assumptions!$K$18</f>
        <v>358780.67849479872</v>
      </c>
      <c r="E25" s="31">
        <f>Assumptions!$E$31</f>
        <v>3.5000000000000003E-2</v>
      </c>
      <c r="G25" s="26">
        <f>$D25*((1-$E25)*(1+Assumptions!$M$18))^1</f>
        <v>349279.10351695708</v>
      </c>
      <c r="H25" s="26">
        <f>$D25*((1-$E25)*(1+Assumptions!$M$18))^2</f>
        <v>340029.15838562301</v>
      </c>
      <c r="I25" s="26">
        <f>$D25*((1-$E25)*(1+Assumptions!$M$18))^3</f>
        <v>331024.17919720156</v>
      </c>
      <c r="J25" s="26">
        <f>$D25*((1-$E25)*(1+Assumptions!$M$18))^4</f>
        <v>322257.67852800147</v>
      </c>
      <c r="K25" s="26">
        <f>$D25*((1-$E25)*(1+Assumptions!$M$18))^5</f>
        <v>313723.34076052497</v>
      </c>
      <c r="L25" s="26">
        <f>$D25*((1-$E25)*(1+Assumptions!$M$18))^6</f>
        <v>305415.01753353071</v>
      </c>
      <c r="M25" s="26">
        <f>$D25*((1-$E25)*(1+Assumptions!$M$18))^7</f>
        <v>297326.72331259277</v>
      </c>
      <c r="N25" s="26">
        <f>$D25*((1-$E25)*(1+Assumptions!$M$18))^8</f>
        <v>289452.63107796444</v>
      </c>
      <c r="O25" s="26">
        <f>$D25*((1-$E25)*(1+Assumptions!$M$18))^9</f>
        <v>281787.06812663988</v>
      </c>
      <c r="P25" s="26">
        <f>$D25*((1-$E25)*(1+Assumptions!$M$18))^10</f>
        <v>274324.51198558987</v>
      </c>
    </row>
    <row r="26" spans="2:16" x14ac:dyDescent="0.35">
      <c r="B26" s="6" t="s">
        <v>65</v>
      </c>
      <c r="C26" s="13">
        <v>1244000000</v>
      </c>
      <c r="D26" s="26">
        <f>$C26*Assumptions!$K$18</f>
        <v>56318.380321454839</v>
      </c>
      <c r="E26" s="31">
        <f>Assumptions!$G$31</f>
        <v>1.4999999999999999E-2</v>
      </c>
      <c r="G26" s="26">
        <f>$D26*((1-$E26)*(1+Assumptions!$M$18))^1</f>
        <v>55963.211677281266</v>
      </c>
      <c r="H26" s="26">
        <f>$D26*((1-$E26)*(1+Assumptions!$M$18))^2</f>
        <v>55610.282883847089</v>
      </c>
      <c r="I26" s="26">
        <f>$D26*((1-$E26)*(1+Assumptions!$M$18))^3</f>
        <v>55259.579815661717</v>
      </c>
      <c r="J26" s="26">
        <f>$D26*((1-$E26)*(1+Assumptions!$M$18))^4</f>
        <v>54911.088436316197</v>
      </c>
      <c r="K26" s="26">
        <f>$D26*((1-$E26)*(1+Assumptions!$M$18))^5</f>
        <v>54564.79479792135</v>
      </c>
      <c r="L26" s="26">
        <f>$D26*((1-$E26)*(1+Assumptions!$M$18))^6</f>
        <v>54220.685040549586</v>
      </c>
      <c r="M26" s="26">
        <f>$D26*((1-$E26)*(1+Assumptions!$M$18))^7</f>
        <v>53878.745391680131</v>
      </c>
      <c r="N26" s="26">
        <f>$D26*((1-$E26)*(1+Assumptions!$M$18))^8</f>
        <v>53538.962165647878</v>
      </c>
      <c r="O26" s="26">
        <f>$D26*((1-$E26)*(1+Assumptions!$M$18))^9</f>
        <v>53201.321763095511</v>
      </c>
      <c r="P26" s="26">
        <f>$D26*((1-$E26)*(1+Assumptions!$M$18))^10</f>
        <v>52865.810670429339</v>
      </c>
    </row>
    <row r="27" spans="2:16" x14ac:dyDescent="0.35">
      <c r="B27" s="6" t="s">
        <v>34</v>
      </c>
      <c r="C27" s="13">
        <v>402974000</v>
      </c>
      <c r="D27" s="26">
        <f>$C27*Assumptions!$K$18</f>
        <v>18243.442919339181</v>
      </c>
      <c r="E27" s="31">
        <f>Assumptions!$G$31</f>
        <v>1.4999999999999999E-2</v>
      </c>
      <c r="G27" s="26">
        <f>$D27*((1-$E27)*(1+Assumptions!$M$18))^1</f>
        <v>18128.391690064906</v>
      </c>
      <c r="H27" s="26">
        <f>$D27*((1-$E27)*(1+Assumptions!$M$18))^2</f>
        <v>18014.066024787295</v>
      </c>
      <c r="I27" s="26">
        <f>$D27*((1-$E27)*(1+Assumptions!$M$18))^3</f>
        <v>17900.461347778506</v>
      </c>
      <c r="J27" s="26">
        <f>$D27*((1-$E27)*(1+Assumptions!$M$18))^4</f>
        <v>17787.573112167269</v>
      </c>
      <c r="K27" s="26">
        <f>$D27*((1-$E27)*(1+Assumptions!$M$18))^5</f>
        <v>17675.39679975688</v>
      </c>
      <c r="L27" s="26">
        <f>$D27*((1-$E27)*(1+Assumptions!$M$18))^6</f>
        <v>17563.927920844395</v>
      </c>
      <c r="M27" s="26">
        <f>$D27*((1-$E27)*(1+Assumptions!$M$18))^7</f>
        <v>17453.162014040925</v>
      </c>
      <c r="N27" s="26">
        <f>$D27*((1-$E27)*(1+Assumptions!$M$18))^8</f>
        <v>17343.094646093075</v>
      </c>
      <c r="O27" s="26">
        <f>$D27*((1-$E27)*(1+Assumptions!$M$18))^9</f>
        <v>17233.721411705505</v>
      </c>
      <c r="P27" s="26">
        <f>$D27*((1-$E27)*(1+Assumptions!$M$18))^10</f>
        <v>17125.037933364623</v>
      </c>
    </row>
    <row r="28" spans="2:16" x14ac:dyDescent="0.35">
      <c r="B28" s="6" t="s">
        <v>36</v>
      </c>
      <c r="C28" s="13">
        <v>1690000000</v>
      </c>
      <c r="D28" s="26">
        <f>$C28*Assumptions!$K$18</f>
        <v>76509.69673895392</v>
      </c>
      <c r="E28" s="31">
        <f>Assumptions!$G$31</f>
        <v>1.4999999999999999E-2</v>
      </c>
      <c r="G28" s="26">
        <f>$D28*((1-$E28)*(1+Assumptions!$M$18))^1</f>
        <v>76027.192712705262</v>
      </c>
      <c r="H28" s="26">
        <f>$D28*((1-$E28)*(1+Assumptions!$M$18))^2</f>
        <v>75547.731570499658</v>
      </c>
      <c r="I28" s="26">
        <f>$D28*((1-$E28)*(1+Assumptions!$M$18))^3</f>
        <v>75071.294122562947</v>
      </c>
      <c r="J28" s="26">
        <f>$D28*((1-$E28)*(1+Assumptions!$M$18))^4</f>
        <v>74597.861300140168</v>
      </c>
      <c r="K28" s="26">
        <f>$D28*((1-$E28)*(1+Assumptions!$M$18))^5</f>
        <v>74127.414154732382</v>
      </c>
      <c r="L28" s="26">
        <f>$D28*((1-$E28)*(1+Assumptions!$M$18))^6</f>
        <v>73659.933857338256</v>
      </c>
      <c r="M28" s="26">
        <f>$D28*((1-$E28)*(1+Assumptions!$M$18))^7</f>
        <v>73195.401697700509</v>
      </c>
      <c r="N28" s="26">
        <f>$D28*((1-$E28)*(1+Assumptions!$M$18))^8</f>
        <v>72733.799083557009</v>
      </c>
      <c r="O28" s="26">
        <f>$D28*((1-$E28)*(1+Assumptions!$M$18))^9</f>
        <v>72275.107539896635</v>
      </c>
      <c r="P28" s="26">
        <f>$D28*((1-$E28)*(1+Assumptions!$M$18))^10</f>
        <v>71819.30870821992</v>
      </c>
    </row>
    <row r="29" spans="2:16" x14ac:dyDescent="0.35">
      <c r="B29" s="6" t="s">
        <v>35</v>
      </c>
      <c r="C29" s="13">
        <v>871163000</v>
      </c>
      <c r="D29" s="26">
        <f>$C29*Assumptions!$K$18</f>
        <v>39439.299964613791</v>
      </c>
      <c r="E29" s="31">
        <f>Assumptions!$I$31</f>
        <v>0</v>
      </c>
      <c r="G29" s="26">
        <f>$D29*((1-$E29)*(1+Assumptions!$M$18))^1</f>
        <v>39787.389111932505</v>
      </c>
      <c r="H29" s="26">
        <f>$D29*((1-$E29)*(1+Assumptions!$M$18))^2</f>
        <v>40138.550475405915</v>
      </c>
      <c r="I29" s="26">
        <f>$D29*((1-$E29)*(1+Assumptions!$M$18))^3</f>
        <v>40492.811170249115</v>
      </c>
      <c r="J29" s="26">
        <f>$D29*((1-$E29)*(1+Assumptions!$M$18))^4</f>
        <v>40850.198550994624</v>
      </c>
      <c r="K29" s="26">
        <f>$D29*((1-$E29)*(1+Assumptions!$M$18))^5</f>
        <v>41210.740213604608</v>
      </c>
      <c r="L29" s="26">
        <f>$D29*((1-$E29)*(1+Assumptions!$M$18))^6</f>
        <v>41574.463997601735</v>
      </c>
      <c r="M29" s="26">
        <f>$D29*((1-$E29)*(1+Assumptions!$M$18))^7</f>
        <v>41941.39798821877</v>
      </c>
      <c r="N29" s="26">
        <f>$D29*((1-$E29)*(1+Assumptions!$M$18))^8</f>
        <v>42311.570518567249</v>
      </c>
      <c r="O29" s="26">
        <f>$D29*((1-$E29)*(1+Assumptions!$M$18))^9</f>
        <v>42685.010171825248</v>
      </c>
      <c r="P29" s="26">
        <f>$D29*((1-$E29)*(1+Assumptions!$M$18))^10</f>
        <v>43061.745783444443</v>
      </c>
    </row>
    <row r="30" spans="2:16" x14ac:dyDescent="0.35">
      <c r="D30" s="26"/>
      <c r="G30" s="26"/>
      <c r="H30" s="26"/>
      <c r="I30" s="26"/>
      <c r="J30" s="26"/>
      <c r="K30" s="26"/>
      <c r="L30" s="26"/>
      <c r="M30" s="26"/>
      <c r="N30" s="26"/>
      <c r="O30" s="26"/>
      <c r="P30" s="26"/>
    </row>
    <row r="31" spans="2:16" ht="18.5" customHeight="1" x14ac:dyDescent="0.45">
      <c r="B31" s="25" t="s">
        <v>66</v>
      </c>
      <c r="D31" s="26"/>
      <c r="G31" s="26"/>
      <c r="H31" s="26"/>
      <c r="I31" s="26"/>
      <c r="J31" s="26"/>
      <c r="K31" s="26"/>
      <c r="L31" s="26"/>
      <c r="M31" s="26"/>
      <c r="N31" s="26"/>
      <c r="O31" s="26"/>
      <c r="P31" s="26"/>
    </row>
    <row r="32" spans="2:16" ht="5" customHeight="1" x14ac:dyDescent="0.35">
      <c r="D32" s="26"/>
      <c r="G32" s="26"/>
      <c r="H32" s="26"/>
      <c r="I32" s="26"/>
      <c r="J32" s="26"/>
      <c r="K32" s="26"/>
      <c r="L32" s="26"/>
      <c r="M32" s="26"/>
      <c r="N32" s="26"/>
      <c r="O32" s="26"/>
      <c r="P32" s="26"/>
    </row>
    <row r="33" spans="2:16" x14ac:dyDescent="0.35">
      <c r="B33" s="6" t="s">
        <v>37</v>
      </c>
      <c r="C33" s="13">
        <v>15985000000</v>
      </c>
      <c r="D33" s="26">
        <f>$C33*Assumptions!$K$24</f>
        <v>19015480.321587935</v>
      </c>
      <c r="E33" s="31">
        <f>Assumptions!$E$31</f>
        <v>3.5000000000000003E-2</v>
      </c>
      <c r="G33" s="26">
        <f>$D33*((1-$E33)*(1+Assumptions!$M$24))^1</f>
        <v>18408333.7382727</v>
      </c>
      <c r="H33" s="26">
        <f>$D33*((1-$E33)*(1+Assumptions!$M$24))^2</f>
        <v>17820572.780111142</v>
      </c>
      <c r="I33" s="26">
        <f>$D33*((1-$E33)*(1+Assumptions!$M$24))^3</f>
        <v>17251578.482140053</v>
      </c>
      <c r="J33" s="26">
        <f>$D33*((1-$E33)*(1+Assumptions!$M$24))^4</f>
        <v>16700751.642371261</v>
      </c>
      <c r="K33" s="26">
        <f>$D33*((1-$E33)*(1+Assumptions!$M$24))^5</f>
        <v>16167512.190778211</v>
      </c>
      <c r="L33" s="26">
        <f>$D33*((1-$E33)*(1+Assumptions!$M$24))^6</f>
        <v>15651298.578430256</v>
      </c>
      <c r="M33" s="26">
        <f>$D33*((1-$E33)*(1+Assumptions!$M$24))^7</f>
        <v>15151567.186131302</v>
      </c>
      <c r="N33" s="26">
        <f>$D33*((1-$E33)*(1+Assumptions!$M$24))^8</f>
        <v>14667791.751940081</v>
      </c>
      <c r="O33" s="26">
        <f>$D33*((1-$E33)*(1+Assumptions!$M$24))^9</f>
        <v>14199462.816969158</v>
      </c>
      <c r="P33" s="26">
        <f>$D33*((1-$E33)*(1+Assumptions!$M$24))^10</f>
        <v>13746087.188879078</v>
      </c>
    </row>
    <row r="34" spans="2:16" x14ac:dyDescent="0.35">
      <c r="B34" s="6" t="s">
        <v>67</v>
      </c>
      <c r="C34" s="13">
        <v>1912000000</v>
      </c>
      <c r="D34" s="26">
        <f>$C34*Assumptions!$K$24</f>
        <v>2274482.2255161796</v>
      </c>
      <c r="E34" s="31">
        <f>Assumptions!$E$31</f>
        <v>3.5000000000000003E-2</v>
      </c>
      <c r="G34" s="26">
        <f>$D34*((1-$E34)*(1+Assumptions!$M$24))^1</f>
        <v>2201860.1255913298</v>
      </c>
      <c r="H34" s="26">
        <f>$D34*((1-$E34)*(1+Assumptions!$M$24))^2</f>
        <v>2131556.7817061306</v>
      </c>
      <c r="I34" s="26">
        <f>$D34*((1-$E34)*(1+Assumptions!$M$24))^3</f>
        <v>2063498.1581389918</v>
      </c>
      <c r="J34" s="26">
        <f>$D34*((1-$E34)*(1+Assumptions!$M$24))^4</f>
        <v>1997612.5830599845</v>
      </c>
      <c r="K34" s="26">
        <f>$D34*((1-$E34)*(1+Assumptions!$M$24))^5</f>
        <v>1933830.6730539843</v>
      </c>
      <c r="L34" s="26">
        <f>$D34*((1-$E34)*(1+Assumptions!$M$24))^6</f>
        <v>1872085.2600537159</v>
      </c>
      <c r="M34" s="26">
        <f>$D34*((1-$E34)*(1+Assumptions!$M$24))^7</f>
        <v>1812311.3206057583</v>
      </c>
      <c r="N34" s="26">
        <f>$D34*((1-$E34)*(1+Assumptions!$M$24))^8</f>
        <v>1754445.9073950222</v>
      </c>
      <c r="O34" s="26">
        <f>$D34*((1-$E34)*(1+Assumptions!$M$24))^9</f>
        <v>1698428.0829555851</v>
      </c>
      <c r="P34" s="26">
        <f>$D34*((1-$E34)*(1+Assumptions!$M$24))^10</f>
        <v>1644198.8554980792</v>
      </c>
    </row>
    <row r="35" spans="2:16" x14ac:dyDescent="0.35">
      <c r="B35" s="6" t="s">
        <v>40</v>
      </c>
      <c r="C35" s="13">
        <v>14884000000</v>
      </c>
      <c r="D35" s="26">
        <f>$C35*Assumptions!$K$24</f>
        <v>17705749.709509842</v>
      </c>
      <c r="E35" s="31">
        <f>Assumptions!$G$31</f>
        <v>1.4999999999999999E-2</v>
      </c>
      <c r="G35" s="26">
        <f>$D35*((1-$E35)*(1+Assumptions!$M$24))^1</f>
        <v>17495663.503838226</v>
      </c>
      <c r="H35" s="26">
        <f>$D35*((1-$E35)*(1+Assumptions!$M$24))^2</f>
        <v>17288070.059813961</v>
      </c>
      <c r="I35" s="26">
        <f>$D35*((1-$E35)*(1+Assumptions!$M$24))^3</f>
        <v>17082939.799766254</v>
      </c>
      <c r="J35" s="26">
        <f>$D35*((1-$E35)*(1+Assumptions!$M$24))^4</f>
        <v>16880243.496975869</v>
      </c>
      <c r="K35" s="26">
        <f>$D35*((1-$E35)*(1+Assumptions!$M$24))^5</f>
        <v>16679952.271510964</v>
      </c>
      <c r="L35" s="26">
        <f>$D35*((1-$E35)*(1+Assumptions!$M$24))^6</f>
        <v>16482037.586112285</v>
      </c>
      <c r="M35" s="26">
        <f>$D35*((1-$E35)*(1+Assumptions!$M$24))^7</f>
        <v>16286471.242127229</v>
      </c>
      <c r="N35" s="26">
        <f>$D35*((1-$E35)*(1+Assumptions!$M$24))^8</f>
        <v>16093225.375492128</v>
      </c>
      <c r="O35" s="26">
        <f>$D35*((1-$E35)*(1+Assumptions!$M$24))^9</f>
        <v>15902272.452762207</v>
      </c>
      <c r="P35" s="26">
        <f>$D35*((1-$E35)*(1+Assumptions!$M$24))^10</f>
        <v>15713585.267188659</v>
      </c>
    </row>
    <row r="36" spans="2:16" x14ac:dyDescent="0.35">
      <c r="B36" s="6" t="s">
        <v>39</v>
      </c>
      <c r="C36" s="13">
        <v>35641000000</v>
      </c>
      <c r="D36" s="26">
        <f>$C36*Assumptions!$K$24</f>
        <v>42397918.932856776</v>
      </c>
      <c r="E36" s="31">
        <f>Assumptions!$I$31</f>
        <v>0</v>
      </c>
      <c r="G36" s="26">
        <f>$D36*((1-$E36)*(1+Assumptions!$M$24))^1</f>
        <v>42532842.335400403</v>
      </c>
      <c r="H36" s="26">
        <f>$D36*((1-$E36)*(1+Assumptions!$M$24))^2</f>
        <v>42668195.106295414</v>
      </c>
      <c r="I36" s="26">
        <f>$D36*((1-$E36)*(1+Assumptions!$M$24))^3</f>
        <v>42803978.611925818</v>
      </c>
      <c r="J36" s="26">
        <f>$D36*((1-$E36)*(1+Assumptions!$M$24))^4</f>
        <v>42940194.223023899</v>
      </c>
      <c r="K36" s="26">
        <f>$D36*((1-$E36)*(1+Assumptions!$M$24))^5</f>
        <v>43076843.314684026</v>
      </c>
      <c r="L36" s="26">
        <f>$D36*((1-$E36)*(1+Assumptions!$M$24))^6</f>
        <v>43213927.26637657</v>
      </c>
      <c r="M36" s="26">
        <f>$D36*((1-$E36)*(1+Assumptions!$M$24))^7</f>
        <v>43351447.461961791</v>
      </c>
      <c r="N36" s="26">
        <f>$D36*((1-$E36)*(1+Assumptions!$M$24))^8</f>
        <v>43489405.289703809</v>
      </c>
      <c r="O36" s="26">
        <f>$D36*((1-$E36)*(1+Assumptions!$M$24))^9</f>
        <v>43627802.142284669</v>
      </c>
      <c r="P36" s="26">
        <f>$D36*((1-$E36)*(1+Assumptions!$M$24))^10</f>
        <v>43766639.416818343</v>
      </c>
    </row>
    <row r="37" spans="2:16" x14ac:dyDescent="0.35">
      <c r="B37" s="6" t="s">
        <v>68</v>
      </c>
      <c r="C37" s="13">
        <v>21156000000</v>
      </c>
      <c r="D37" s="26">
        <f>$C37*Assumptions!$K$24</f>
        <v>25166812.742165428</v>
      </c>
      <c r="E37" s="31">
        <f>Assumptions!$E$31</f>
        <v>3.5000000000000003E-2</v>
      </c>
      <c r="G37" s="26">
        <f>$D37*((1-$E37)*(1+Assumptions!$M$24))^1</f>
        <v>24363259.841532517</v>
      </c>
      <c r="H37" s="26">
        <f>$D37*((1-$E37)*(1+Assumptions!$M$24))^2</f>
        <v>23585363.63691156</v>
      </c>
      <c r="I37" s="26">
        <f>$D37*((1-$E37)*(1+Assumptions!$M$24))^3</f>
        <v>22832304.933885206</v>
      </c>
      <c r="J37" s="26">
        <f>$D37*((1-$E37)*(1+Assumptions!$M$24))^4</f>
        <v>22103290.694151167</v>
      </c>
      <c r="K37" s="26">
        <f>$D37*((1-$E37)*(1+Assumptions!$M$24))^5</f>
        <v>21397553.200381849</v>
      </c>
      <c r="L37" s="26">
        <f>$D37*((1-$E37)*(1+Assumptions!$M$24))^6</f>
        <v>20714349.247749172</v>
      </c>
      <c r="M37" s="26">
        <f>$D37*((1-$E37)*(1+Assumptions!$M$24))^7</f>
        <v>20052959.361263297</v>
      </c>
      <c r="N37" s="26">
        <f>$D37*((1-$E37)*(1+Assumptions!$M$24))^8</f>
        <v>19412687.038100991</v>
      </c>
      <c r="O37" s="26">
        <f>$D37*((1-$E37)*(1+Assumptions!$M$24))^9</f>
        <v>18792858.014125712</v>
      </c>
      <c r="P37" s="26">
        <f>$D37*((1-$E37)*(1+Assumptions!$M$24))^10</f>
        <v>18192819.553827073</v>
      </c>
    </row>
    <row r="38" spans="2:16" x14ac:dyDescent="0.35">
      <c r="B38" s="6" t="s">
        <v>69</v>
      </c>
      <c r="C38" s="13">
        <v>48755000000</v>
      </c>
      <c r="D38" s="26">
        <f>$C38*Assumptions!$K$24</f>
        <v>57998107.167908646</v>
      </c>
      <c r="E38" s="31">
        <f>Assumptions!$I$31</f>
        <v>0</v>
      </c>
      <c r="G38" s="26">
        <f>$D38*((1-$E38)*(1+Assumptions!$M$24))^1</f>
        <v>58182675.235331409</v>
      </c>
      <c r="H38" s="26">
        <f>$D38*((1-$E38)*(1+Assumptions!$M$24))^2</f>
        <v>58367830.655914053</v>
      </c>
      <c r="I38" s="26">
        <f>$D38*((1-$E38)*(1+Assumptions!$M$24))^3</f>
        <v>58553575.29879754</v>
      </c>
      <c r="J38" s="26">
        <f>$D38*((1-$E38)*(1+Assumptions!$M$24))^4</f>
        <v>58739911.039071016</v>
      </c>
      <c r="K38" s="26">
        <f>$D38*((1-$E38)*(1+Assumptions!$M$24))^5</f>
        <v>58926839.757790729</v>
      </c>
      <c r="L38" s="26">
        <f>$D38*((1-$E38)*(1+Assumptions!$M$24))^6</f>
        <v>59114363.341999099</v>
      </c>
      <c r="M38" s="26">
        <f>$D38*((1-$E38)*(1+Assumptions!$M$24))^7</f>
        <v>59302483.684743613</v>
      </c>
      <c r="N38" s="26">
        <f>$D38*((1-$E38)*(1+Assumptions!$M$24))^8</f>
        <v>59491202.685096078</v>
      </c>
      <c r="O38" s="26">
        <f>$D38*((1-$E38)*(1+Assumptions!$M$24))^9</f>
        <v>59680522.248171739</v>
      </c>
      <c r="P38" s="26">
        <f>$D38*((1-$E38)*(1+Assumptions!$M$24))^10</f>
        <v>59870444.285148516</v>
      </c>
    </row>
  </sheetData>
  <dataValidations count="2">
    <dataValidation allowBlank="1" showInputMessage="1" showErrorMessage="1" prompt="Current Approximated Emissions_x000a_" sqref="D5" xr:uid="{00000000-0002-0000-0400-000000000000}"/>
    <dataValidation allowBlank="1" showInputMessage="1" showErrorMessage="1" prompt="Operational CF_x000a_" sqref="C5" xr:uid="{00000000-0002-0000-0400-000001000000}"/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B38"/>
  <sheetViews>
    <sheetView showGridLines="0" zoomScale="47" zoomScaleNormal="70" workbookViewId="0">
      <selection activeCell="O5" sqref="O5"/>
    </sheetView>
  </sheetViews>
  <sheetFormatPr defaultColWidth="15.6328125" defaultRowHeight="14.5" outlineLevelCol="1" x14ac:dyDescent="0.35"/>
  <cols>
    <col min="1" max="1" width="4.6328125" customWidth="1"/>
    <col min="2" max="2" width="20.6328125" customWidth="1"/>
    <col min="7" max="7" width="15.7265625" bestFit="1" customWidth="1"/>
    <col min="8" max="8" width="17.7265625" bestFit="1" customWidth="1"/>
    <col min="10" max="10" width="15.7265625" bestFit="1" customWidth="1"/>
    <col min="12" max="12" width="22.36328125" bestFit="1" customWidth="1"/>
    <col min="17" max="17" width="15.6328125" customWidth="1"/>
    <col min="18" max="27" width="15.6328125" hidden="1" customWidth="1" outlineLevel="1"/>
    <col min="28" max="28" width="15.6328125" customWidth="1" collapsed="1"/>
  </cols>
  <sheetData>
    <row r="1" spans="2:27" x14ac:dyDescent="0.35">
      <c r="J1">
        <v>100</v>
      </c>
    </row>
    <row r="2" spans="2:27" s="1" customFormat="1" ht="21" customHeight="1" x14ac:dyDescent="0.5">
      <c r="B2" s="4" t="s">
        <v>70</v>
      </c>
    </row>
    <row r="3" spans="2:27" s="15" customFormat="1" ht="4" customHeight="1" x14ac:dyDescent="0.35"/>
    <row r="4" spans="2:27" x14ac:dyDescent="0.35">
      <c r="B4" s="14"/>
    </row>
    <row r="5" spans="2:27" ht="16.5" customHeight="1" x14ac:dyDescent="0.4">
      <c r="B5" s="17" t="s">
        <v>71</v>
      </c>
      <c r="C5" s="18" t="s">
        <v>72</v>
      </c>
      <c r="D5" s="18" t="s">
        <v>73</v>
      </c>
      <c r="E5" s="19" t="s">
        <v>74</v>
      </c>
      <c r="F5" s="18" t="s">
        <v>75</v>
      </c>
      <c r="G5" s="18" t="s">
        <v>76</v>
      </c>
      <c r="H5" s="18" t="s">
        <v>77</v>
      </c>
      <c r="I5" s="18" t="s">
        <v>78</v>
      </c>
      <c r="J5" s="18" t="s">
        <v>79</v>
      </c>
      <c r="K5" s="18" t="s">
        <v>80</v>
      </c>
      <c r="L5" s="18" t="s">
        <v>81</v>
      </c>
      <c r="M5" s="18" t="s">
        <v>82</v>
      </c>
      <c r="N5" s="18" t="s">
        <v>83</v>
      </c>
      <c r="O5" s="18" t="s">
        <v>71</v>
      </c>
      <c r="P5" s="15"/>
      <c r="Q5" s="18" t="s">
        <v>84</v>
      </c>
      <c r="R5" s="15">
        <v>2026</v>
      </c>
      <c r="S5" s="15">
        <f t="shared" ref="S5:AA5" si="0">R5+1</f>
        <v>2027</v>
      </c>
      <c r="T5" s="15">
        <f t="shared" si="0"/>
        <v>2028</v>
      </c>
      <c r="U5" s="15">
        <f t="shared" si="0"/>
        <v>2029</v>
      </c>
      <c r="V5" s="15">
        <f t="shared" si="0"/>
        <v>2030</v>
      </c>
      <c r="W5" s="15">
        <f t="shared" si="0"/>
        <v>2031</v>
      </c>
      <c r="X5" s="15">
        <f t="shared" si="0"/>
        <v>2032</v>
      </c>
      <c r="Y5" s="15">
        <f t="shared" si="0"/>
        <v>2033</v>
      </c>
      <c r="Z5" s="15">
        <f t="shared" si="0"/>
        <v>2034</v>
      </c>
      <c r="AA5" s="15">
        <f t="shared" si="0"/>
        <v>2035</v>
      </c>
    </row>
    <row r="6" spans="2:27" x14ac:dyDescent="0.35">
      <c r="B6" s="14"/>
    </row>
    <row r="7" spans="2:27" ht="18.5" customHeight="1" x14ac:dyDescent="0.45">
      <c r="B7" s="16" t="s">
        <v>54</v>
      </c>
      <c r="C7" s="23"/>
      <c r="D7" s="23"/>
    </row>
    <row r="8" spans="2:27" ht="5" customHeight="1" x14ac:dyDescent="0.35">
      <c r="B8" s="14"/>
    </row>
    <row r="9" spans="2:27" x14ac:dyDescent="0.35">
      <c r="B9" s="6" t="s">
        <v>55</v>
      </c>
      <c r="C9" s="8" t="s">
        <v>85</v>
      </c>
      <c r="D9" s="8" t="s">
        <v>86</v>
      </c>
      <c r="E9" s="13">
        <v>0.19</v>
      </c>
      <c r="F9" s="20">
        <f>Assumptions!$G$7+Assumptions!$I$7*DCF!$E9</f>
        <v>3.8669999999999996E-2</v>
      </c>
      <c r="G9" s="13">
        <v>1682000</v>
      </c>
      <c r="H9" s="13">
        <v>30114000</v>
      </c>
      <c r="I9" s="20">
        <f t="shared" ref="I9:I18" si="1">$G9/$H9</f>
        <v>5.5854419871156274E-2</v>
      </c>
      <c r="J9" s="21">
        <v>0.25</v>
      </c>
      <c r="K9" s="22">
        <f t="shared" ref="K9:K18" si="2">$I9*(1-$J9)</f>
        <v>4.1890814903367206E-2</v>
      </c>
      <c r="L9" s="13">
        <v>293170000000</v>
      </c>
      <c r="M9" s="22">
        <f t="shared" ref="M9:M18" si="3">$L9/($L9+$H9)</f>
        <v>0.999897291990821</v>
      </c>
      <c r="N9" s="22">
        <f t="shared" ref="N9:N18" si="4">$H9/($H9+$L9)</f>
        <v>1.0270800917901416E-4</v>
      </c>
      <c r="O9" s="22">
        <f t="shared" ref="O9:O18" si="5">$F9*$M9+$I9*$N9</f>
        <v>3.8671764977553855E-2</v>
      </c>
      <c r="R9">
        <f t="shared" ref="R9:R18" si="6">1/(1+$O9)^1</f>
        <v>0.96276805986115399</v>
      </c>
      <c r="S9">
        <f t="shared" ref="S9:S18" si="7">1/(1+$O9)^2</f>
        <v>0.92692233708881056</v>
      </c>
      <c r="T9">
        <f t="shared" ref="T9:T18" si="8">1/(1+$O9)^3</f>
        <v>0.89241122012096064</v>
      </c>
      <c r="U9">
        <f t="shared" ref="U9:U18" si="9">1/(1+$O9)^4</f>
        <v>0.85918501899418243</v>
      </c>
      <c r="V9">
        <f t="shared" ref="V9:V18" si="10">1/(1+$O9)^5</f>
        <v>0.82719589379879777</v>
      </c>
      <c r="W9">
        <f t="shared" ref="W9:W18" si="11">1/(1+$O9)^6</f>
        <v>0.79639778579778164</v>
      </c>
      <c r="X9">
        <f t="shared" ref="X9:X18" si="12">1/(1+$O9)^7</f>
        <v>0.76674635111024902</v>
      </c>
      <c r="Y9">
        <f t="shared" ref="Y9:Y18" si="13">1/(1+$O9)^8</f>
        <v>0.73819889686403362</v>
      </c>
      <c r="Z9">
        <f t="shared" ref="Z9:Z18" si="14">1/(1+$O9)^9</f>
        <v>0.71071431972542976</v>
      </c>
      <c r="AA9">
        <f t="shared" ref="AA9:AA18" si="15">1/(1+$O9)^10</f>
        <v>0.68425304671759191</v>
      </c>
    </row>
    <row r="10" spans="2:27" x14ac:dyDescent="0.35">
      <c r="B10" s="6" t="s">
        <v>56</v>
      </c>
      <c r="C10" s="8" t="s">
        <v>87</v>
      </c>
      <c r="D10" s="8" t="s">
        <v>88</v>
      </c>
      <c r="E10" s="13">
        <v>0.89</v>
      </c>
      <c r="F10" s="20">
        <f>Assumptions!$G$7+Assumptions!$I$7*DCF!$E10</f>
        <v>7.7170000000000002E-2</v>
      </c>
      <c r="G10" s="13">
        <v>2358000</v>
      </c>
      <c r="H10" s="13">
        <v>40697000</v>
      </c>
      <c r="I10" s="20">
        <f t="shared" si="1"/>
        <v>5.7940388726441749E-2</v>
      </c>
      <c r="J10" s="21">
        <v>0.30059999999999998</v>
      </c>
      <c r="K10" s="22">
        <f t="shared" si="2"/>
        <v>4.0523507875273361E-2</v>
      </c>
      <c r="L10" s="13">
        <v>38200000000</v>
      </c>
      <c r="M10" s="22">
        <f t="shared" si="3"/>
        <v>0.99893576730570577</v>
      </c>
      <c r="N10" s="22">
        <f t="shared" si="4"/>
        <v>1.0642326942942489E-3</v>
      </c>
      <c r="O10" s="22">
        <f t="shared" si="5"/>
        <v>7.7149535218984114E-2</v>
      </c>
      <c r="R10">
        <f t="shared" si="6"/>
        <v>0.92837620711287805</v>
      </c>
      <c r="S10">
        <f t="shared" si="7"/>
        <v>0.86188238193329358</v>
      </c>
      <c r="T10">
        <f t="shared" si="8"/>
        <v>0.80015109671664408</v>
      </c>
      <c r="U10">
        <f t="shared" si="9"/>
        <v>0.7428412402870076</v>
      </c>
      <c r="V10">
        <f t="shared" si="10"/>
        <v>0.68963613314467831</v>
      </c>
      <c r="W10">
        <f t="shared" si="11"/>
        <v>0.64024177757684819</v>
      </c>
      <c r="X10">
        <f t="shared" si="12"/>
        <v>0.59438523310200131</v>
      </c>
      <c r="Y10">
        <f t="shared" si="13"/>
        <v>0.55181310827113983</v>
      </c>
      <c r="Z10">
        <f t="shared" si="14"/>
        <v>0.51229016049192877</v>
      </c>
      <c r="AA10">
        <f t="shared" si="15"/>
        <v>0.47559799613874443</v>
      </c>
    </row>
    <row r="11" spans="2:27" x14ac:dyDescent="0.35">
      <c r="B11" s="6" t="s">
        <v>30</v>
      </c>
      <c r="C11" s="8" t="s">
        <v>89</v>
      </c>
      <c r="D11" s="8" t="s">
        <v>90</v>
      </c>
      <c r="E11" s="13">
        <v>0.45</v>
      </c>
      <c r="F11" s="20">
        <f>Assumptions!$G$7+Assumptions!$I$7*DCF!$E11</f>
        <v>5.2970000000000003E-2</v>
      </c>
      <c r="G11" s="13">
        <v>1006000</v>
      </c>
      <c r="H11" s="13">
        <v>31258000</v>
      </c>
      <c r="I11" s="20">
        <f t="shared" si="1"/>
        <v>3.2183760957194961E-2</v>
      </c>
      <c r="J11" s="21">
        <v>0.1961</v>
      </c>
      <c r="K11" s="22">
        <f t="shared" si="2"/>
        <v>2.587252543348903E-2</v>
      </c>
      <c r="L11" s="13">
        <v>272470000000</v>
      </c>
      <c r="M11" s="22">
        <f t="shared" si="3"/>
        <v>0.99988529227266909</v>
      </c>
      <c r="N11" s="22">
        <f t="shared" si="4"/>
        <v>1.1470772733093217E-4</v>
      </c>
      <c r="O11" s="22">
        <f t="shared" si="5"/>
        <v>5.2967615657759641E-2</v>
      </c>
      <c r="R11">
        <f t="shared" si="6"/>
        <v>0.94969682365333496</v>
      </c>
      <c r="S11">
        <f t="shared" si="7"/>
        <v>0.90192405685723365</v>
      </c>
      <c r="T11">
        <f t="shared" si="8"/>
        <v>0.85655441197384474</v>
      </c>
      <c r="U11">
        <f t="shared" si="9"/>
        <v>0.81346700433781038</v>
      </c>
      <c r="V11">
        <f t="shared" si="10"/>
        <v>0.77254703016641213</v>
      </c>
      <c r="W11">
        <f t="shared" si="11"/>
        <v>0.7336854606718588</v>
      </c>
      <c r="X11">
        <f t="shared" si="12"/>
        <v>0.69677875156069813</v>
      </c>
      <c r="Y11">
        <f t="shared" si="13"/>
        <v>0.66172856714633121</v>
      </c>
      <c r="Z11">
        <f t="shared" si="14"/>
        <v>0.62844151833954331</v>
      </c>
      <c r="AA11">
        <f t="shared" si="15"/>
        <v>0.59682891381894332</v>
      </c>
    </row>
    <row r="12" spans="2:27" x14ac:dyDescent="0.35">
      <c r="B12" s="6" t="s">
        <v>57</v>
      </c>
      <c r="C12" s="8" t="s">
        <v>91</v>
      </c>
      <c r="D12" s="8" t="s">
        <v>90</v>
      </c>
      <c r="E12" s="13">
        <v>0.17</v>
      </c>
      <c r="F12" s="20">
        <f>Assumptions!$G$7+Assumptions!$I$7*DCF!$E12</f>
        <v>3.7569999999999999E-2</v>
      </c>
      <c r="G12" s="13">
        <v>1403000</v>
      </c>
      <c r="H12" s="13">
        <v>36354000</v>
      </c>
      <c r="I12" s="20">
        <f t="shared" si="1"/>
        <v>3.8592727072674256E-2</v>
      </c>
      <c r="J12" s="21">
        <v>0.1961</v>
      </c>
      <c r="K12" s="22">
        <f t="shared" si="2"/>
        <v>3.1024693293722837E-2</v>
      </c>
      <c r="L12" s="13">
        <v>341200000000</v>
      </c>
      <c r="M12" s="22">
        <f t="shared" si="3"/>
        <v>0.99989346387167177</v>
      </c>
      <c r="N12" s="22">
        <f t="shared" si="4"/>
        <v>1.0653612832822614E-4</v>
      </c>
      <c r="O12" s="22">
        <f t="shared" si="5"/>
        <v>3.7570108957382657E-2</v>
      </c>
      <c r="R12">
        <f t="shared" si="6"/>
        <v>0.96379029365530255</v>
      </c>
      <c r="S12">
        <f t="shared" si="7"/>
        <v>0.92889173014417437</v>
      </c>
      <c r="T12">
        <f t="shared" si="8"/>
        <v>0.89525683336963591</v>
      </c>
      <c r="U12">
        <f t="shared" si="9"/>
        <v>0.86283984633023769</v>
      </c>
      <c r="V12">
        <f t="shared" si="10"/>
        <v>0.83159666887211603</v>
      </c>
      <c r="W12">
        <f t="shared" si="11"/>
        <v>0.80148479769502812</v>
      </c>
      <c r="X12">
        <f t="shared" si="12"/>
        <v>0.77246326853075187</v>
      </c>
      <c r="Y12">
        <f t="shared" si="13"/>
        <v>0.74449260041518817</v>
      </c>
      <c r="Z12">
        <f t="shared" si="14"/>
        <v>0.71753474197835398</v>
      </c>
      <c r="AA12">
        <f t="shared" si="15"/>
        <v>0.69155301967919958</v>
      </c>
    </row>
    <row r="13" spans="2:27" x14ac:dyDescent="0.35">
      <c r="B13" s="6" t="s">
        <v>58</v>
      </c>
      <c r="C13" s="8" t="s">
        <v>92</v>
      </c>
      <c r="D13" s="8" t="s">
        <v>93</v>
      </c>
      <c r="E13" s="13">
        <v>0.4</v>
      </c>
      <c r="F13" s="20">
        <f>Assumptions!$G$7+Assumptions!$I$7*DCF!$E13</f>
        <v>5.0220000000000001E-2</v>
      </c>
      <c r="G13" s="13">
        <v>749000</v>
      </c>
      <c r="H13" s="13">
        <v>17906000</v>
      </c>
      <c r="I13" s="20">
        <f t="shared" si="1"/>
        <v>4.1829554339327599E-2</v>
      </c>
      <c r="J13" s="21">
        <v>0.36130000000000001</v>
      </c>
      <c r="K13" s="22">
        <f t="shared" si="2"/>
        <v>2.6716536356528538E-2</v>
      </c>
      <c r="L13" s="13">
        <v>116030000000</v>
      </c>
      <c r="M13" s="22">
        <f t="shared" si="3"/>
        <v>0.99984570165359121</v>
      </c>
      <c r="N13" s="22">
        <f t="shared" si="4"/>
        <v>1.5429834640876675E-4</v>
      </c>
      <c r="O13" s="22">
        <f t="shared" si="5"/>
        <v>5.0218705368108921E-2</v>
      </c>
      <c r="R13">
        <f t="shared" si="6"/>
        <v>0.95218262147548882</v>
      </c>
      <c r="S13">
        <f t="shared" si="7"/>
        <v>0.90665174463993403</v>
      </c>
      <c r="T13">
        <f t="shared" si="8"/>
        <v>0.86329803497657798</v>
      </c>
      <c r="U13">
        <f t="shared" si="9"/>
        <v>0.82201738605863617</v>
      </c>
      <c r="V13">
        <f t="shared" si="10"/>
        <v>0.78271066955574109</v>
      </c>
      <c r="W13">
        <f t="shared" si="11"/>
        <v>0.74528349719442077</v>
      </c>
      <c r="X13">
        <f t="shared" si="12"/>
        <v>0.70964599410100371</v>
      </c>
      <c r="Y13">
        <f t="shared" si="13"/>
        <v>0.67571258298267278</v>
      </c>
      <c r="Z13">
        <f t="shared" si="14"/>
        <v>0.6434017786284153</v>
      </c>
      <c r="AA13">
        <f t="shared" si="15"/>
        <v>0.61263599223639653</v>
      </c>
    </row>
    <row r="14" spans="2:27" x14ac:dyDescent="0.35">
      <c r="B14" s="6" t="s">
        <v>31</v>
      </c>
      <c r="C14" s="8" t="s">
        <v>94</v>
      </c>
      <c r="D14" s="8" t="s">
        <v>44</v>
      </c>
      <c r="E14" s="13">
        <v>0.25</v>
      </c>
      <c r="F14" s="20">
        <f>Assumptions!$G$7+Assumptions!$I$7*DCF!$E14</f>
        <v>4.197E-2</v>
      </c>
      <c r="G14" s="13">
        <v>159000</v>
      </c>
      <c r="H14" s="13">
        <v>3026000</v>
      </c>
      <c r="I14" s="20">
        <f t="shared" si="1"/>
        <v>5.2544613350958363E-2</v>
      </c>
      <c r="J14" s="21">
        <v>0.25</v>
      </c>
      <c r="K14" s="22">
        <f t="shared" si="2"/>
        <v>3.9408460013218773E-2</v>
      </c>
      <c r="L14" s="13">
        <v>47860000000</v>
      </c>
      <c r="M14" s="22">
        <f t="shared" si="3"/>
        <v>0.99993677792122881</v>
      </c>
      <c r="N14" s="22">
        <f t="shared" si="4"/>
        <v>6.3222078771200133E-5</v>
      </c>
      <c r="O14" s="22">
        <f t="shared" si="5"/>
        <v>4.1970668549038255E-2</v>
      </c>
      <c r="R14">
        <f t="shared" si="6"/>
        <v>0.95971991360612574</v>
      </c>
      <c r="S14">
        <f t="shared" si="7"/>
        <v>0.92106231257214943</v>
      </c>
      <c r="T14">
        <f t="shared" si="8"/>
        <v>0.88396184304760173</v>
      </c>
      <c r="U14">
        <f t="shared" si="9"/>
        <v>0.84835578364075603</v>
      </c>
      <c r="V14">
        <f t="shared" si="10"/>
        <v>0.81418393938296341</v>
      </c>
      <c r="W14">
        <f t="shared" si="11"/>
        <v>0.78138853996411284</v>
      </c>
      <c r="X14">
        <f t="shared" si="12"/>
        <v>0.7499141420671751</v>
      </c>
      <c r="Y14">
        <f t="shared" si="13"/>
        <v>0.71970753563672119</v>
      </c>
      <c r="Z14">
        <f t="shared" si="14"/>
        <v>0.6907176539229517</v>
      </c>
      <c r="AA14">
        <f t="shared" si="15"/>
        <v>0.66289548714916113</v>
      </c>
    </row>
    <row r="15" spans="2:27" x14ac:dyDescent="0.35">
      <c r="B15" s="6" t="s">
        <v>59</v>
      </c>
      <c r="C15" s="8" t="s">
        <v>95</v>
      </c>
      <c r="D15" s="8" t="s">
        <v>44</v>
      </c>
      <c r="E15" s="13">
        <v>0.25</v>
      </c>
      <c r="F15" s="20">
        <f>Assumptions!$G$7+Assumptions!$I$7*DCF!$E15</f>
        <v>4.197E-2</v>
      </c>
      <c r="G15" s="13">
        <v>640000</v>
      </c>
      <c r="H15" s="13">
        <v>16986000</v>
      </c>
      <c r="I15" s="20">
        <f t="shared" si="1"/>
        <v>3.7678087837042268E-2</v>
      </c>
      <c r="J15" s="21">
        <v>0.25</v>
      </c>
      <c r="K15" s="22">
        <f t="shared" si="2"/>
        <v>2.8258565877781701E-2</v>
      </c>
      <c r="L15" s="13">
        <v>99750000000</v>
      </c>
      <c r="M15" s="22">
        <f t="shared" si="3"/>
        <v>0.99982974327800178</v>
      </c>
      <c r="N15" s="22">
        <f t="shared" si="4"/>
        <v>1.7025672199819688E-4</v>
      </c>
      <c r="O15" s="22">
        <f t="shared" si="5"/>
        <v>4.1969269273104029E-2</v>
      </c>
      <c r="R15">
        <f t="shared" si="6"/>
        <v>0.95972120242818437</v>
      </c>
      <c r="S15">
        <f t="shared" si="7"/>
        <v>0.92106478639020017</v>
      </c>
      <c r="T15">
        <f t="shared" si="8"/>
        <v>0.88396540430866177</v>
      </c>
      <c r="U15">
        <f t="shared" si="9"/>
        <v>0.84836034072802524</v>
      </c>
      <c r="V15">
        <f t="shared" si="10"/>
        <v>0.81418940629588465</v>
      </c>
      <c r="W15">
        <f t="shared" si="11"/>
        <v>0.78139483601457604</v>
      </c>
      <c r="X15">
        <f t="shared" si="12"/>
        <v>0.74992119159108295</v>
      </c>
      <c r="Y15">
        <f t="shared" si="13"/>
        <v>0.71971526772017103</v>
      </c>
      <c r="Z15">
        <f t="shared" si="14"/>
        <v>0.69072600214232516</v>
      </c>
      <c r="AA15">
        <f t="shared" si="15"/>
        <v>0.66290438932444506</v>
      </c>
    </row>
    <row r="16" spans="2:27" x14ac:dyDescent="0.35">
      <c r="B16" s="6" t="s">
        <v>60</v>
      </c>
      <c r="C16" s="8" t="s">
        <v>96</v>
      </c>
      <c r="D16" s="8" t="s">
        <v>44</v>
      </c>
      <c r="E16" s="13">
        <v>1.41</v>
      </c>
      <c r="F16" s="20">
        <f>Assumptions!$G$7+Assumptions!$I$7*DCF!$E16</f>
        <v>0.10576999999999999</v>
      </c>
      <c r="G16" s="13">
        <v>12600</v>
      </c>
      <c r="H16" s="13">
        <v>254200</v>
      </c>
      <c r="I16" s="20">
        <f t="shared" si="1"/>
        <v>4.956726986624705E-2</v>
      </c>
      <c r="J16" s="21">
        <v>0.30059999999999998</v>
      </c>
      <c r="K16" s="22">
        <f t="shared" si="2"/>
        <v>3.4667348544453191E-2</v>
      </c>
      <c r="L16" s="13">
        <v>25640000000</v>
      </c>
      <c r="M16" s="22">
        <f t="shared" si="3"/>
        <v>0.99999008590172245</v>
      </c>
      <c r="N16" s="22">
        <f t="shared" si="4"/>
        <v>9.9140982775435979E-6</v>
      </c>
      <c r="O16" s="22">
        <f t="shared" si="5"/>
        <v>0.10576944280060999</v>
      </c>
      <c r="R16">
        <f t="shared" si="6"/>
        <v>0.90434765267818851</v>
      </c>
      <c r="S16">
        <f t="shared" si="7"/>
        <v>0.81784467690454932</v>
      </c>
      <c r="T16">
        <f t="shared" si="8"/>
        <v>0.73961591381398073</v>
      </c>
      <c r="U16">
        <f t="shared" si="9"/>
        <v>0.66886991554110675</v>
      </c>
      <c r="V16">
        <f t="shared" si="10"/>
        <v>0.60489093806665795</v>
      </c>
      <c r="W16">
        <f t="shared" si="11"/>
        <v>0.54703169996688961</v>
      </c>
      <c r="X16">
        <f t="shared" si="12"/>
        <v>0.4947068338056157</v>
      </c>
      <c r="Y16">
        <f t="shared" si="13"/>
        <v>0.44738696391596722</v>
      </c>
      <c r="Z16">
        <f t="shared" si="14"/>
        <v>0.40459335065622637</v>
      </c>
      <c r="AA16">
        <f t="shared" si="15"/>
        <v>0.36589304695516151</v>
      </c>
    </row>
    <row r="17" spans="2:27" x14ac:dyDescent="0.35">
      <c r="B17" s="6" t="s">
        <v>61</v>
      </c>
      <c r="C17" s="8" t="s">
        <v>97</v>
      </c>
      <c r="D17" s="8" t="s">
        <v>98</v>
      </c>
      <c r="E17" s="13">
        <v>0.43</v>
      </c>
      <c r="F17" s="20">
        <f>Assumptions!$G$7+Assumptions!$I$7*DCF!$E17</f>
        <v>5.1869999999999999E-2</v>
      </c>
      <c r="G17" s="13">
        <v>3091000</v>
      </c>
      <c r="H17" s="13">
        <v>63649000</v>
      </c>
      <c r="I17" s="20">
        <f t="shared" si="1"/>
        <v>4.8563213876101748E-2</v>
      </c>
      <c r="J17" s="21">
        <v>0.25569999999999998</v>
      </c>
      <c r="K17" s="22">
        <f t="shared" si="2"/>
        <v>3.6145600087982531E-2</v>
      </c>
      <c r="L17" s="13">
        <v>144480000000</v>
      </c>
      <c r="M17" s="22">
        <f t="shared" si="3"/>
        <v>0.99955965550586034</v>
      </c>
      <c r="N17" s="22">
        <f t="shared" si="4"/>
        <v>4.4034449413962143E-4</v>
      </c>
      <c r="O17" s="22">
        <f t="shared" si="5"/>
        <v>5.1868543874937036E-2</v>
      </c>
      <c r="R17">
        <f t="shared" si="6"/>
        <v>0.95068913869801575</v>
      </c>
      <c r="S17">
        <f t="shared" si="7"/>
        <v>0.90380983843837515</v>
      </c>
      <c r="T17">
        <f t="shared" si="8"/>
        <v>0.85924219685177172</v>
      </c>
      <c r="U17">
        <f t="shared" si="9"/>
        <v>0.81687222405800186</v>
      </c>
      <c r="V17">
        <f t="shared" si="10"/>
        <v>0.77659155111603428</v>
      </c>
      <c r="W17">
        <f t="shared" si="11"/>
        <v>0.73829715285065889</v>
      </c>
      <c r="X17">
        <f t="shared" si="12"/>
        <v>0.70189108434679015</v>
      </c>
      <c r="Y17">
        <f t="shared" si="13"/>
        <v>0.66728023043746643</v>
      </c>
      <c r="Z17">
        <f t="shared" si="14"/>
        <v>0.63437606754480846</v>
      </c>
      <c r="AA17">
        <f t="shared" si="15"/>
        <v>0.60309443726480827</v>
      </c>
    </row>
    <row r="18" spans="2:27" x14ac:dyDescent="0.35">
      <c r="B18" s="6" t="s">
        <v>32</v>
      </c>
      <c r="C18" s="8" t="s">
        <v>99</v>
      </c>
      <c r="D18" s="8" t="s">
        <v>44</v>
      </c>
      <c r="E18" s="13">
        <v>0.33</v>
      </c>
      <c r="F18" s="20">
        <f>Assumptions!$G$7+Assumptions!$I$7*DCF!$E18</f>
        <v>4.6369999999999995E-2</v>
      </c>
      <c r="G18" s="13">
        <v>755000</v>
      </c>
      <c r="H18" s="13">
        <v>36634000</v>
      </c>
      <c r="I18" s="20">
        <f t="shared" si="1"/>
        <v>2.060927007697767E-2</v>
      </c>
      <c r="J18" s="21">
        <v>0.25569999999999998</v>
      </c>
      <c r="K18" s="22">
        <f t="shared" si="2"/>
        <v>1.5339479718294479E-2</v>
      </c>
      <c r="L18" s="13">
        <v>453830000000</v>
      </c>
      <c r="M18" s="22">
        <f t="shared" si="3"/>
        <v>0.99991928465929047</v>
      </c>
      <c r="N18" s="22">
        <f t="shared" si="4"/>
        <v>8.0715340709535389E-5</v>
      </c>
      <c r="O18" s="22">
        <f t="shared" si="5"/>
        <v>4.6367920713907329E-2</v>
      </c>
      <c r="R18">
        <f t="shared" si="6"/>
        <v>0.95568679066320017</v>
      </c>
      <c r="S18">
        <f t="shared" si="7"/>
        <v>0.91333724184812726</v>
      </c>
      <c r="T18">
        <f t="shared" si="8"/>
        <v>0.87286433745501579</v>
      </c>
      <c r="U18">
        <f t="shared" si="9"/>
        <v>0.8341849173467446</v>
      </c>
      <c r="V18">
        <f t="shared" si="10"/>
        <v>0.79721950647875717</v>
      </c>
      <c r="W18">
        <f t="shared" si="11"/>
        <v>0.76189215160078372</v>
      </c>
      <c r="X18">
        <f t="shared" si="12"/>
        <v>0.72813026519483326</v>
      </c>
      <c r="Y18">
        <f t="shared" si="13"/>
        <v>0.69586447632879511</v>
      </c>
      <c r="Z18">
        <f t="shared" si="14"/>
        <v>0.66502848811919457</v>
      </c>
      <c r="AA18">
        <f t="shared" si="15"/>
        <v>0.63555894151023318</v>
      </c>
    </row>
    <row r="19" spans="2:27" x14ac:dyDescent="0.35">
      <c r="B19" s="6"/>
      <c r="C19" s="8"/>
      <c r="D19" s="8"/>
      <c r="E19" s="8"/>
      <c r="F19" s="8"/>
      <c r="G19" s="8"/>
      <c r="H19" s="8"/>
      <c r="I19" s="8"/>
      <c r="J19" s="8"/>
      <c r="K19" s="8"/>
      <c r="L19" s="8"/>
      <c r="M19" s="22"/>
      <c r="N19" s="22"/>
      <c r="O19" s="22"/>
    </row>
    <row r="20" spans="2:27" x14ac:dyDescent="0.35">
      <c r="F20" s="20"/>
      <c r="I20" s="20"/>
      <c r="K20" s="22"/>
      <c r="M20" s="22"/>
      <c r="N20" s="22"/>
      <c r="O20" s="22"/>
    </row>
    <row r="21" spans="2:27" ht="18.5" customHeight="1" x14ac:dyDescent="0.45">
      <c r="B21" s="24" t="s">
        <v>62</v>
      </c>
      <c r="F21" s="20"/>
      <c r="I21" s="20"/>
      <c r="K21" s="22"/>
      <c r="M21" s="22"/>
      <c r="N21" s="22"/>
      <c r="O21" s="22"/>
    </row>
    <row r="22" spans="2:27" ht="5" customHeight="1" x14ac:dyDescent="0.35">
      <c r="F22" s="20"/>
      <c r="I22" s="20"/>
      <c r="K22" s="22"/>
      <c r="M22" s="22"/>
      <c r="N22" s="22"/>
      <c r="O22" s="22"/>
      <c r="R22">
        <f>1/(1+$O22)^1</f>
        <v>1</v>
      </c>
      <c r="S22">
        <f>1/(1+$O22)^2</f>
        <v>1</v>
      </c>
      <c r="T22">
        <f>1/(1+$O22)^3</f>
        <v>1</v>
      </c>
      <c r="U22">
        <f>1/(1+$O22)^4</f>
        <v>1</v>
      </c>
      <c r="V22">
        <f>1/(1+$O22)^5</f>
        <v>1</v>
      </c>
      <c r="W22">
        <f>1/(1+$O22)^6</f>
        <v>1</v>
      </c>
      <c r="X22">
        <f>1/(1+$O22)^7</f>
        <v>1</v>
      </c>
      <c r="Y22">
        <f>1/(1+$O22)^8</f>
        <v>1</v>
      </c>
      <c r="Z22">
        <f>1/(1+$O22)^9</f>
        <v>1</v>
      </c>
      <c r="AA22">
        <f>1/(1+$O22)^10</f>
        <v>1</v>
      </c>
    </row>
    <row r="23" spans="2:27" x14ac:dyDescent="0.35">
      <c r="B23" s="6"/>
      <c r="C23" s="8"/>
      <c r="D23" s="8"/>
      <c r="E23" s="52"/>
      <c r="F23" s="20"/>
      <c r="G23" s="52"/>
      <c r="H23" s="52"/>
      <c r="I23" s="52"/>
      <c r="J23" s="52"/>
      <c r="K23" s="52"/>
      <c r="L23" s="52"/>
      <c r="M23" s="22"/>
      <c r="N23" s="22"/>
      <c r="O23" s="22"/>
    </row>
    <row r="24" spans="2:27" x14ac:dyDescent="0.35">
      <c r="B24" s="6" t="s">
        <v>63</v>
      </c>
      <c r="C24" s="8" t="s">
        <v>100</v>
      </c>
      <c r="D24" s="8" t="s">
        <v>101</v>
      </c>
      <c r="E24" s="13">
        <v>0.72</v>
      </c>
      <c r="F24" s="20">
        <f>Assumptions!$G$7+Assumptions!$I$7*DCF!$E24</f>
        <v>6.7819999999999991E-2</v>
      </c>
      <c r="G24" s="13">
        <v>33000</v>
      </c>
      <c r="H24" s="13">
        <v>972000</v>
      </c>
      <c r="I24" s="20">
        <f t="shared" ref="I24:I29" si="16">$G24/$H24</f>
        <v>3.3950617283950615E-2</v>
      </c>
      <c r="J24" s="21">
        <v>0.25800000000000001</v>
      </c>
      <c r="K24" s="22">
        <f t="shared" ref="K24:K29" si="17">$I24*(1-$J24)</f>
        <v>2.5191358024691357E-2</v>
      </c>
      <c r="L24" s="13">
        <v>469510000</v>
      </c>
      <c r="M24" s="22">
        <f t="shared" ref="M24:M29" si="18">$L24/($L24+$H24)</f>
        <v>0.99793403360808708</v>
      </c>
      <c r="N24" s="22">
        <f t="shared" ref="N24:N29" si="19">$H24/($H24+$L24)</f>
        <v>2.0659663919129745E-3</v>
      </c>
      <c r="O24" s="22">
        <f t="shared" ref="O24:O29" si="20">$F24*$M24+$I24*$N24</f>
        <v>6.7750026993593795E-2</v>
      </c>
      <c r="R24">
        <f t="shared" ref="R24:R29" si="21">1/(1+$O24)^1</f>
        <v>0.9365487939303978</v>
      </c>
      <c r="S24">
        <f t="shared" ref="S24:S29" si="22">1/(1+$O24)^2</f>
        <v>0.87712364341248295</v>
      </c>
      <c r="T24">
        <f t="shared" ref="T24:T29" si="23">1/(1+$O24)^3</f>
        <v>0.82146909036579718</v>
      </c>
      <c r="U24">
        <f t="shared" ref="U24:U29" si="24">1/(1+$O24)^4</f>
        <v>0.76934588583318853</v>
      </c>
      <c r="V24">
        <f t="shared" ref="V24:V29" si="25">1/(1+$O24)^5</f>
        <v>0.72052996149238624</v>
      </c>
      <c r="W24">
        <f t="shared" ref="W24:W29" si="26">1/(1+$O24)^6</f>
        <v>0.67481146642641043</v>
      </c>
      <c r="X24">
        <f t="shared" ref="X24:X29" si="27">1/(1+$O24)^7</f>
        <v>0.63199386501205779</v>
      </c>
      <c r="Y24">
        <f t="shared" ref="Y24:Y29" si="28">1/(1+$O24)^8</f>
        <v>0.59189309204845353</v>
      </c>
      <c r="Z24">
        <f t="shared" ref="Z24:Z29" si="29">1/(1+$O24)^9</f>
        <v>0.55433676149371314</v>
      </c>
      <c r="AA24">
        <f t="shared" ref="AA24:AA29" si="30">1/(1+$O24)^10</f>
        <v>0.51916342540821969</v>
      </c>
    </row>
    <row r="25" spans="2:27" x14ac:dyDescent="0.35">
      <c r="B25" s="6" t="s">
        <v>64</v>
      </c>
      <c r="C25" s="8" t="s">
        <v>102</v>
      </c>
      <c r="D25" s="8" t="s">
        <v>86</v>
      </c>
      <c r="E25" s="13">
        <v>1.17</v>
      </c>
      <c r="F25" s="20">
        <f>Assumptions!$G$7+Assumptions!$I$7*DCF!$E25</f>
        <v>9.2569999999999986E-2</v>
      </c>
      <c r="G25" s="13">
        <v>1034000</v>
      </c>
      <c r="H25" s="13">
        <v>22442000</v>
      </c>
      <c r="I25" s="20">
        <f t="shared" si="16"/>
        <v>4.6074324926477138E-2</v>
      </c>
      <c r="J25" s="21">
        <v>0.30059999999999998</v>
      </c>
      <c r="K25" s="22">
        <f t="shared" si="17"/>
        <v>3.2224382853578114E-2</v>
      </c>
      <c r="L25" s="13">
        <v>54430000000</v>
      </c>
      <c r="M25" s="22">
        <f t="shared" si="18"/>
        <v>0.99958786054076321</v>
      </c>
      <c r="N25" s="22">
        <f t="shared" si="19"/>
        <v>4.1213945923674093E-4</v>
      </c>
      <c r="O25" s="22">
        <f t="shared" si="20"/>
        <v>9.255083729761833E-2</v>
      </c>
      <c r="R25">
        <f t="shared" si="21"/>
        <v>0.9152892166312927</v>
      </c>
      <c r="S25">
        <f t="shared" si="22"/>
        <v>0.83775435008152566</v>
      </c>
      <c r="T25">
        <f t="shared" si="23"/>
        <v>0.76678752281557738</v>
      </c>
      <c r="U25">
        <f t="shared" si="24"/>
        <v>0.70183235108051933</v>
      </c>
      <c r="V25">
        <f t="shared" si="25"/>
        <v>0.64237958282698693</v>
      </c>
      <c r="W25">
        <f t="shared" si="26"/>
        <v>0.58796310514564953</v>
      </c>
      <c r="X25">
        <f t="shared" si="27"/>
        <v>0.53815628991686404</v>
      </c>
      <c r="Y25">
        <f t="shared" si="28"/>
        <v>0.49256864902320935</v>
      </c>
      <c r="Z25">
        <f t="shared" si="29"/>
        <v>0.45084277290158747</v>
      </c>
      <c r="AA25">
        <f t="shared" si="30"/>
        <v>0.41265152843297387</v>
      </c>
    </row>
    <row r="26" spans="2:27" x14ac:dyDescent="0.35">
      <c r="B26" s="6" t="s">
        <v>65</v>
      </c>
      <c r="C26" s="8" t="s">
        <v>103</v>
      </c>
      <c r="D26" s="8" t="s">
        <v>86</v>
      </c>
      <c r="E26" s="13">
        <v>1.8</v>
      </c>
      <c r="F26" s="20">
        <f>Assumptions!$G$7+Assumptions!$I$7*DCF!$E26</f>
        <v>0.12722</v>
      </c>
      <c r="G26" s="13">
        <v>223000</v>
      </c>
      <c r="H26" s="13">
        <v>4117000</v>
      </c>
      <c r="I26" s="20">
        <f t="shared" si="16"/>
        <v>5.4165654602866167E-2</v>
      </c>
      <c r="J26" s="21">
        <v>0.25569999999999998</v>
      </c>
      <c r="K26" s="22">
        <f t="shared" si="17"/>
        <v>4.0315496720913287E-2</v>
      </c>
      <c r="L26" s="13">
        <v>17150000000</v>
      </c>
      <c r="M26" s="22">
        <f t="shared" si="18"/>
        <v>0.99975999930512305</v>
      </c>
      <c r="N26" s="22">
        <f t="shared" si="19"/>
        <v>2.4000069487692079E-4</v>
      </c>
      <c r="O26" s="22">
        <f t="shared" si="20"/>
        <v>0.12720246690634091</v>
      </c>
      <c r="R26">
        <f t="shared" si="21"/>
        <v>0.88715206838088811</v>
      </c>
      <c r="S26">
        <f t="shared" si="22"/>
        <v>0.78703879243248809</v>
      </c>
      <c r="T26">
        <f t="shared" si="23"/>
        <v>0.69822309260247828</v>
      </c>
      <c r="U26">
        <f t="shared" si="24"/>
        <v>0.61943006079358898</v>
      </c>
      <c r="V26">
        <f t="shared" si="25"/>
        <v>0.54952865965033182</v>
      </c>
      <c r="W26">
        <f t="shared" si="26"/>
        <v>0.487515487043369</v>
      </c>
      <c r="X26">
        <f t="shared" si="27"/>
        <v>0.43250037269824088</v>
      </c>
      <c r="Y26">
        <f t="shared" si="28"/>
        <v>0.38369360021474941</v>
      </c>
      <c r="Z26">
        <f t="shared" si="29"/>
        <v>0.34039457105502452</v>
      </c>
      <c r="AA26">
        <f t="shared" si="30"/>
        <v>0.30198174777709025</v>
      </c>
    </row>
    <row r="27" spans="2:27" x14ac:dyDescent="0.35">
      <c r="B27" s="6" t="s">
        <v>34</v>
      </c>
      <c r="C27" s="8" t="s">
        <v>104</v>
      </c>
      <c r="D27" s="8" t="s">
        <v>90</v>
      </c>
      <c r="E27" s="13">
        <v>0.5</v>
      </c>
      <c r="F27" s="20">
        <f>Assumptions!$G$7+Assumptions!$I$7*DCF!$E27</f>
        <v>5.5719999999999999E-2</v>
      </c>
      <c r="G27" s="13">
        <v>8319</v>
      </c>
      <c r="H27" s="13">
        <v>276439</v>
      </c>
      <c r="I27" s="20">
        <f t="shared" si="16"/>
        <v>3.0093438335401301E-2</v>
      </c>
      <c r="J27" s="21">
        <v>0.25</v>
      </c>
      <c r="K27" s="22">
        <f t="shared" si="17"/>
        <v>2.2570078751550975E-2</v>
      </c>
      <c r="L27" s="13">
        <v>4090000000</v>
      </c>
      <c r="M27" s="22">
        <f t="shared" si="18"/>
        <v>0.99993241557040879</v>
      </c>
      <c r="N27" s="22">
        <f t="shared" si="19"/>
        <v>6.7584429591165831E-5</v>
      </c>
      <c r="O27" s="22">
        <f t="shared" si="20"/>
        <v>5.5718268043447511E-2</v>
      </c>
      <c r="R27">
        <f t="shared" si="21"/>
        <v>0.94722240797565271</v>
      </c>
      <c r="S27">
        <f t="shared" si="22"/>
        <v>0.89723029017119393</v>
      </c>
      <c r="T27">
        <f t="shared" si="23"/>
        <v>0.84987663596465191</v>
      </c>
      <c r="U27">
        <f t="shared" si="24"/>
        <v>0.80502219360068483</v>
      </c>
      <c r="V27">
        <f t="shared" si="25"/>
        <v>0.76253506069628285</v>
      </c>
      <c r="W27">
        <f t="shared" si="26"/>
        <v>0.72229029635859354</v>
      </c>
      <c r="X27">
        <f t="shared" si="27"/>
        <v>0.68416955377423483</v>
      </c>
      <c r="Y27">
        <f t="shared" si="28"/>
        <v>0.64806073218965854</v>
      </c>
      <c r="Z27">
        <f t="shared" si="29"/>
        <v>0.61385764725915293</v>
      </c>
      <c r="AA27">
        <f t="shared" si="30"/>
        <v>0.58145971879108382</v>
      </c>
    </row>
    <row r="28" spans="2:27" x14ac:dyDescent="0.35">
      <c r="B28" s="6" t="s">
        <v>36</v>
      </c>
      <c r="C28" s="8" t="s">
        <v>105</v>
      </c>
      <c r="D28" s="8" t="s">
        <v>44</v>
      </c>
      <c r="E28" s="13">
        <v>0.81</v>
      </c>
      <c r="F28" s="20">
        <f>Assumptions!$G$7+Assumptions!$I$7*DCF!$E28</f>
        <v>7.2770000000000001E-2</v>
      </c>
      <c r="G28" s="13">
        <v>37000</v>
      </c>
      <c r="H28" s="13">
        <v>2346000</v>
      </c>
      <c r="I28" s="20">
        <f t="shared" si="16"/>
        <v>1.5771526001705029E-2</v>
      </c>
      <c r="J28" s="21">
        <v>0.1961</v>
      </c>
      <c r="K28" s="22">
        <f t="shared" si="17"/>
        <v>1.2678729752770674E-2</v>
      </c>
      <c r="L28" s="13">
        <v>24670000000</v>
      </c>
      <c r="M28" s="22">
        <f t="shared" si="18"/>
        <v>0.99990491378485047</v>
      </c>
      <c r="N28" s="22">
        <f t="shared" si="19"/>
        <v>9.5086215149544357E-5</v>
      </c>
      <c r="O28" s="22">
        <f t="shared" si="20"/>
        <v>7.2764580230838205E-2</v>
      </c>
      <c r="R28">
        <f t="shared" si="21"/>
        <v>0.93217097061949905</v>
      </c>
      <c r="S28">
        <f t="shared" si="22"/>
        <v>0.86894271846569893</v>
      </c>
      <c r="T28">
        <f t="shared" si="23"/>
        <v>0.81000317728491666</v>
      </c>
      <c r="U28">
        <f t="shared" si="24"/>
        <v>0.75506144797455899</v>
      </c>
      <c r="V28">
        <f t="shared" si="25"/>
        <v>0.70384636283580904</v>
      </c>
      <c r="W28">
        <f t="shared" si="26"/>
        <v>0.65610514721166024</v>
      </c>
      <c r="X28">
        <f t="shared" si="27"/>
        <v>0.61160217190474264</v>
      </c>
      <c r="Y28">
        <f t="shared" si="28"/>
        <v>0.57011779021743769</v>
      </c>
      <c r="Z28">
        <f t="shared" si="29"/>
        <v>0.53144725387443281</v>
      </c>
      <c r="AA28">
        <f t="shared" si="30"/>
        <v>0.49539970247719739</v>
      </c>
    </row>
    <row r="29" spans="2:27" x14ac:dyDescent="0.35">
      <c r="B29" s="6" t="s">
        <v>35</v>
      </c>
      <c r="C29" s="8" t="s">
        <v>106</v>
      </c>
      <c r="D29" s="8" t="s">
        <v>44</v>
      </c>
      <c r="E29" s="13">
        <v>0.91</v>
      </c>
      <c r="F29" s="20">
        <f>Assumptions!$G$7+Assumptions!$I$7*DCF!$E29</f>
        <v>7.8270000000000006E-2</v>
      </c>
      <c r="G29" s="13">
        <v>73029</v>
      </c>
      <c r="H29" s="13">
        <v>1741132</v>
      </c>
      <c r="I29" s="20">
        <f t="shared" si="16"/>
        <v>4.1943402338248913E-2</v>
      </c>
      <c r="J29" s="21">
        <v>0.25569999999999998</v>
      </c>
      <c r="K29" s="22">
        <f t="shared" si="17"/>
        <v>3.1218474360358663E-2</v>
      </c>
      <c r="L29" s="13">
        <v>15680000000</v>
      </c>
      <c r="M29" s="22">
        <f t="shared" si="18"/>
        <v>0.99988897074723115</v>
      </c>
      <c r="N29" s="22">
        <f t="shared" si="19"/>
        <v>1.1102925276881812E-4</v>
      </c>
      <c r="O29" s="22">
        <f t="shared" si="20"/>
        <v>7.8265966685005989E-2</v>
      </c>
      <c r="R29">
        <f t="shared" si="21"/>
        <v>0.92741497079275814</v>
      </c>
      <c r="S29">
        <f t="shared" si="22"/>
        <v>0.86009852805053244</v>
      </c>
      <c r="T29">
        <f t="shared" si="23"/>
        <v>0.79766825127087881</v>
      </c>
      <c r="U29">
        <f t="shared" si="24"/>
        <v>0.7397694779546925</v>
      </c>
      <c r="V29">
        <f t="shared" si="25"/>
        <v>0.68607328879072504</v>
      </c>
      <c r="W29">
        <f t="shared" si="26"/>
        <v>0.63627463908554183</v>
      </c>
      <c r="X29">
        <f t="shared" si="27"/>
        <v>0.59009062582369043</v>
      </c>
      <c r="Y29">
        <f t="shared" si="28"/>
        <v>0.54725888051335825</v>
      </c>
      <c r="Z29">
        <f t="shared" si="29"/>
        <v>0.5075360786873736</v>
      </c>
      <c r="AA29">
        <f t="shared" si="30"/>
        <v>0.47069655759212159</v>
      </c>
    </row>
    <row r="30" spans="2:27" x14ac:dyDescent="0.35">
      <c r="F30" s="20"/>
      <c r="I30" s="20"/>
      <c r="K30" s="22"/>
      <c r="M30" s="22"/>
      <c r="N30" s="22"/>
      <c r="O30" s="22"/>
    </row>
    <row r="31" spans="2:27" ht="18.5" customHeight="1" x14ac:dyDescent="0.45">
      <c r="B31" s="25" t="s">
        <v>66</v>
      </c>
      <c r="F31" s="20"/>
      <c r="I31" s="20"/>
      <c r="K31" s="22"/>
      <c r="M31" s="22"/>
      <c r="N31" s="22"/>
      <c r="O31" s="22"/>
    </row>
    <row r="32" spans="2:27" ht="5" customHeight="1" x14ac:dyDescent="0.35">
      <c r="F32" s="20"/>
      <c r="I32" s="20"/>
      <c r="K32" s="22"/>
      <c r="M32" s="22"/>
      <c r="N32" s="22"/>
      <c r="O32" s="22"/>
      <c r="R32">
        <f t="shared" ref="R32:R38" si="31">1/(1+$O32)^1</f>
        <v>1</v>
      </c>
      <c r="S32">
        <f t="shared" ref="S32:S38" si="32">1/(1+$O32)^2</f>
        <v>1</v>
      </c>
      <c r="T32">
        <f t="shared" ref="T32:T38" si="33">1/(1+$O32)^3</f>
        <v>1</v>
      </c>
      <c r="U32">
        <f t="shared" ref="U32:U38" si="34">1/(1+$O32)^4</f>
        <v>1</v>
      </c>
      <c r="V32">
        <f t="shared" ref="V32:V38" si="35">1/(1+$O32)^5</f>
        <v>1</v>
      </c>
      <c r="W32">
        <f t="shared" ref="W32:W38" si="36">1/(1+$O32)^6</f>
        <v>1</v>
      </c>
      <c r="X32">
        <f t="shared" ref="X32:X38" si="37">1/(1+$O32)^7</f>
        <v>1</v>
      </c>
      <c r="Y32">
        <f t="shared" ref="Y32:Y38" si="38">1/(1+$O32)^8</f>
        <v>1</v>
      </c>
      <c r="Z32">
        <f t="shared" ref="Z32:Z38" si="39">1/(1+$O32)^9</f>
        <v>1</v>
      </c>
      <c r="AA32">
        <f t="shared" ref="AA32:AA38" si="40">1/(1+$O32)^10</f>
        <v>1</v>
      </c>
    </row>
    <row r="33" spans="2:27" x14ac:dyDescent="0.35">
      <c r="B33" s="6" t="s">
        <v>37</v>
      </c>
      <c r="C33" s="8" t="s">
        <v>107</v>
      </c>
      <c r="D33" s="8" t="s">
        <v>44</v>
      </c>
      <c r="E33" s="13">
        <v>0.65</v>
      </c>
      <c r="F33" s="20">
        <f>Assumptions!$G$7+Assumptions!$I$7*DCF!$E33</f>
        <v>6.3969999999999999E-2</v>
      </c>
      <c r="G33" s="13">
        <v>1997000</v>
      </c>
      <c r="H33" s="13">
        <v>57731000</v>
      </c>
      <c r="I33" s="20">
        <f t="shared" ref="I33:I38" si="41">$G33/$H33</f>
        <v>3.4591467322582323E-2</v>
      </c>
      <c r="J33" s="21">
        <v>0.25</v>
      </c>
      <c r="K33" s="22">
        <f t="shared" ref="K33:K38" si="42">$I33*(1-$J33)</f>
        <v>2.5943600491936742E-2</v>
      </c>
      <c r="L33" s="13">
        <v>126280000000</v>
      </c>
      <c r="M33" s="22">
        <f t="shared" ref="M33:M38" si="43">$L33/($L33+$H33)</f>
        <v>0.99954304229193414</v>
      </c>
      <c r="N33" s="22">
        <f t="shared" ref="N33:N38" si="44">$H33/($H33+$L33)</f>
        <v>4.5695770806585087E-4</v>
      </c>
      <c r="O33" s="22">
        <f t="shared" ref="O33:O38" si="45">$F33*$M33+$I33*$N33</f>
        <v>6.3956575253041395E-2</v>
      </c>
      <c r="R33">
        <f t="shared" si="31"/>
        <v>0.93988798345662694</v>
      </c>
      <c r="S33">
        <f t="shared" si="32"/>
        <v>0.88338942144616472</v>
      </c>
      <c r="T33">
        <f t="shared" si="33"/>
        <v>0.83028710192995214</v>
      </c>
      <c r="U33">
        <f t="shared" si="34"/>
        <v>0.7803768699229896</v>
      </c>
      <c r="V33">
        <f t="shared" si="35"/>
        <v>0.73346684260811323</v>
      </c>
      <c r="W33">
        <f t="shared" si="36"/>
        <v>0.68937667163123861</v>
      </c>
      <c r="X33">
        <f t="shared" si="37"/>
        <v>0.64793684974152632</v>
      </c>
      <c r="Y33">
        <f t="shared" si="38"/>
        <v>0.60898805911080267</v>
      </c>
      <c r="Z33">
        <f t="shared" si="39"/>
        <v>0.57238055882681749</v>
      </c>
      <c r="AA33">
        <f t="shared" si="40"/>
        <v>0.53797360920551474</v>
      </c>
    </row>
    <row r="34" spans="2:27" x14ac:dyDescent="0.35">
      <c r="B34" s="6" t="s">
        <v>67</v>
      </c>
      <c r="C34" s="8" t="s">
        <v>108</v>
      </c>
      <c r="D34" s="8" t="s">
        <v>44</v>
      </c>
      <c r="E34" s="13">
        <v>0.75</v>
      </c>
      <c r="F34" s="20">
        <f>Assumptions!$G$7+Assumptions!$I$7*DCF!$E34</f>
        <v>6.9470000000000004E-2</v>
      </c>
      <c r="G34" s="13">
        <v>235800</v>
      </c>
      <c r="H34" s="13">
        <v>14828400</v>
      </c>
      <c r="I34" s="20">
        <f t="shared" si="41"/>
        <v>1.5901917941247876E-2</v>
      </c>
      <c r="J34" s="21">
        <v>0.25</v>
      </c>
      <c r="K34" s="22">
        <f t="shared" si="42"/>
        <v>1.1926438455935908E-2</v>
      </c>
      <c r="L34" s="13">
        <v>12560000000</v>
      </c>
      <c r="M34" s="22">
        <f t="shared" si="43"/>
        <v>0.99882078708922983</v>
      </c>
      <c r="N34" s="22">
        <f t="shared" si="44"/>
        <v>1.1792129107702177E-3</v>
      </c>
      <c r="O34" s="22">
        <f t="shared" si="45"/>
        <v>6.9406831826031121E-2</v>
      </c>
      <c r="R34">
        <f t="shared" si="31"/>
        <v>0.93509782268033803</v>
      </c>
      <c r="S34">
        <f t="shared" si="32"/>
        <v>0.87440793798150884</v>
      </c>
      <c r="T34">
        <f t="shared" si="33"/>
        <v>0.81765695894091295</v>
      </c>
      <c r="U34">
        <f t="shared" si="34"/>
        <v>0.76458924200507428</v>
      </c>
      <c r="V34">
        <f t="shared" si="35"/>
        <v>0.71496573544375497</v>
      </c>
      <c r="W34">
        <f t="shared" si="36"/>
        <v>0.6685629025045019</v>
      </c>
      <c r="X34">
        <f t="shared" si="37"/>
        <v>0.62517171445680675</v>
      </c>
      <c r="Y34">
        <f t="shared" si="38"/>
        <v>0.58459670898989391</v>
      </c>
      <c r="Z34">
        <f t="shared" si="39"/>
        <v>0.54665510972254105</v>
      </c>
      <c r="AA34">
        <f t="shared" si="40"/>
        <v>0.51117600285862941</v>
      </c>
    </row>
    <row r="35" spans="2:27" x14ac:dyDescent="0.35">
      <c r="B35" s="6" t="s">
        <v>40</v>
      </c>
      <c r="C35" s="8" t="s">
        <v>109</v>
      </c>
      <c r="D35" s="8" t="s">
        <v>101</v>
      </c>
      <c r="E35" s="13">
        <v>0.52</v>
      </c>
      <c r="F35" s="20">
        <f>Assumptions!$G$7+Assumptions!$I$7*DCF!$E35</f>
        <v>5.6819999999999996E-2</v>
      </c>
      <c r="G35" s="13">
        <v>2967000</v>
      </c>
      <c r="H35" s="13">
        <v>52007000</v>
      </c>
      <c r="I35" s="20">
        <f t="shared" si="41"/>
        <v>5.7050012498317537E-2</v>
      </c>
      <c r="J35" s="21">
        <v>0.36130000000000001</v>
      </c>
      <c r="K35" s="22">
        <f t="shared" si="42"/>
        <v>3.6437842982675411E-2</v>
      </c>
      <c r="L35" s="13">
        <v>67300000000</v>
      </c>
      <c r="M35" s="22">
        <f t="shared" si="43"/>
        <v>0.99922783295826656</v>
      </c>
      <c r="N35" s="22">
        <f t="shared" si="44"/>
        <v>7.7216704173344085E-4</v>
      </c>
      <c r="O35" s="22">
        <f t="shared" si="45"/>
        <v>5.6820177608070385E-2</v>
      </c>
      <c r="R35">
        <f t="shared" si="31"/>
        <v>0.94623477218548857</v>
      </c>
      <c r="S35">
        <f t="shared" si="32"/>
        <v>0.89536024409292336</v>
      </c>
      <c r="T35">
        <f t="shared" si="33"/>
        <v>0.84722099659321071</v>
      </c>
      <c r="U35">
        <f t="shared" si="34"/>
        <v>0.80166996670213941</v>
      </c>
      <c r="V35">
        <f t="shared" si="35"/>
        <v>0.75856799831034705</v>
      </c>
      <c r="W35">
        <f t="shared" si="36"/>
        <v>0.71778341706839321</v>
      </c>
      <c r="X35">
        <f t="shared" si="37"/>
        <v>0.67919162812823264</v>
      </c>
      <c r="Y35">
        <f t="shared" si="38"/>
        <v>0.64267473551220922</v>
      </c>
      <c r="Z35">
        <f t="shared" si="39"/>
        <v>0.60812118194676446</v>
      </c>
      <c r="AA35">
        <f t="shared" si="40"/>
        <v>0.57542540806056663</v>
      </c>
    </row>
    <row r="36" spans="2:27" x14ac:dyDescent="0.35">
      <c r="B36" s="6" t="s">
        <v>39</v>
      </c>
      <c r="C36" s="8" t="s">
        <v>110</v>
      </c>
      <c r="D36" s="8" t="s">
        <v>101</v>
      </c>
      <c r="E36" s="13">
        <v>0.23</v>
      </c>
      <c r="F36" s="20">
        <f>Assumptions!$G$7+Assumptions!$I$7*DCF!$E36</f>
        <v>4.0869999999999997E-2</v>
      </c>
      <c r="G36" s="13">
        <v>2364000</v>
      </c>
      <c r="H36" s="13">
        <v>51244000</v>
      </c>
      <c r="I36" s="20">
        <f t="shared" si="41"/>
        <v>4.613223011474514E-2</v>
      </c>
      <c r="J36" s="21">
        <v>0.36130000000000001</v>
      </c>
      <c r="K36" s="22">
        <f t="shared" si="42"/>
        <v>2.9464655374287722E-2</v>
      </c>
      <c r="L36" s="13">
        <v>118520000000</v>
      </c>
      <c r="M36" s="22">
        <f t="shared" si="43"/>
        <v>0.99956782101400576</v>
      </c>
      <c r="N36" s="22">
        <f t="shared" si="44"/>
        <v>4.3217898599427697E-4</v>
      </c>
      <c r="O36" s="22">
        <f t="shared" si="45"/>
        <v>4.0872274225275063E-2</v>
      </c>
      <c r="R36">
        <f t="shared" si="31"/>
        <v>0.96073267082102221</v>
      </c>
      <c r="S36">
        <f t="shared" si="32"/>
        <v>0.92300726478289452</v>
      </c>
      <c r="T36">
        <f t="shared" si="33"/>
        <v>0.88676323468207663</v>
      </c>
      <c r="U36">
        <f t="shared" si="34"/>
        <v>0.85194241084200051</v>
      </c>
      <c r="V36">
        <f t="shared" si="35"/>
        <v>0.81848890775393568</v>
      </c>
      <c r="W36">
        <f t="shared" si="36"/>
        <v>0.78634903438381987</v>
      </c>
      <c r="X36">
        <f t="shared" si="37"/>
        <v>0.75547120800109901</v>
      </c>
      <c r="Y36">
        <f t="shared" si="38"/>
        <v>0.72580587139127994</v>
      </c>
      <c r="Z36">
        <f t="shared" si="39"/>
        <v>0.69730541331932361</v>
      </c>
      <c r="AA36">
        <f t="shared" si="40"/>
        <v>0.66992409211623061</v>
      </c>
    </row>
    <row r="37" spans="2:27" x14ac:dyDescent="0.35">
      <c r="B37" s="6" t="s">
        <v>68</v>
      </c>
      <c r="C37" s="8" t="s">
        <v>111</v>
      </c>
      <c r="D37" s="8" t="s">
        <v>88</v>
      </c>
      <c r="E37" s="13">
        <v>0.62</v>
      </c>
      <c r="F37" s="20">
        <f>Assumptions!$G$7+Assumptions!$I$7*DCF!$E37</f>
        <v>6.232E-2</v>
      </c>
      <c r="G37" s="13">
        <v>4007000</v>
      </c>
      <c r="H37" s="13">
        <v>96618000</v>
      </c>
      <c r="I37" s="20">
        <f t="shared" si="41"/>
        <v>4.147260344863276E-2</v>
      </c>
      <c r="J37" s="21">
        <v>0.22</v>
      </c>
      <c r="K37" s="22">
        <f t="shared" si="42"/>
        <v>3.2348630689933551E-2</v>
      </c>
      <c r="L37" s="13">
        <v>23060000000</v>
      </c>
      <c r="M37" s="22">
        <f t="shared" si="43"/>
        <v>0.99582762906051303</v>
      </c>
      <c r="N37" s="22">
        <f t="shared" si="44"/>
        <v>4.1723709394869317E-3</v>
      </c>
      <c r="O37" s="22">
        <f t="shared" si="45"/>
        <v>6.2233016928465112E-2</v>
      </c>
      <c r="R37">
        <f t="shared" si="31"/>
        <v>0.94141302714500719</v>
      </c>
      <c r="S37">
        <f t="shared" si="32"/>
        <v>0.88625848767832605</v>
      </c>
      <c r="T37">
        <f t="shared" si="33"/>
        <v>0.83433528571820914</v>
      </c>
      <c r="U37">
        <f t="shared" si="34"/>
        <v>0.78545410698187357</v>
      </c>
      <c r="V37">
        <f t="shared" si="35"/>
        <v>0.73943672853728393</v>
      </c>
      <c r="W37">
        <f t="shared" si="36"/>
        <v>0.69611536899448545</v>
      </c>
      <c r="X37">
        <f t="shared" si="37"/>
        <v>0.65533207676726224</v>
      </c>
      <c r="Y37">
        <f t="shared" si="38"/>
        <v>0.61693815417469255</v>
      </c>
      <c r="Z37">
        <f t="shared" si="39"/>
        <v>0.58079361528285045</v>
      </c>
      <c r="AA37">
        <f t="shared" si="40"/>
        <v>0.54676667550992097</v>
      </c>
    </row>
    <row r="38" spans="2:27" x14ac:dyDescent="0.35">
      <c r="B38" s="6" t="s">
        <v>69</v>
      </c>
      <c r="C38" s="8" t="s">
        <v>112</v>
      </c>
      <c r="D38" s="8" t="s">
        <v>44</v>
      </c>
      <c r="E38" s="13">
        <v>-0.1</v>
      </c>
      <c r="F38" s="20">
        <f>Assumptions!$G$7+Assumptions!$I$7*DCF!$E38</f>
        <v>2.2719999999999997E-2</v>
      </c>
      <c r="G38" s="13">
        <v>4858000</v>
      </c>
      <c r="H38" s="13">
        <v>77078000</v>
      </c>
      <c r="I38" s="20">
        <f t="shared" si="41"/>
        <v>6.3027063494122834E-2</v>
      </c>
      <c r="J38" s="21">
        <v>0.25</v>
      </c>
      <c r="K38" s="22">
        <f t="shared" si="42"/>
        <v>4.7270297620592122E-2</v>
      </c>
      <c r="L38" s="13">
        <v>172720000000</v>
      </c>
      <c r="M38" s="22">
        <f t="shared" si="43"/>
        <v>0.99955393921649527</v>
      </c>
      <c r="N38" s="22">
        <f t="shared" si="44"/>
        <v>4.4606078350468401E-4</v>
      </c>
      <c r="O38" s="22">
        <f t="shared" si="45"/>
        <v>2.2737979400322957E-2</v>
      </c>
      <c r="R38">
        <f t="shared" si="31"/>
        <v>0.97776754177677538</v>
      </c>
      <c r="S38">
        <f t="shared" si="32"/>
        <v>0.95602936575219821</v>
      </c>
      <c r="T38">
        <f t="shared" si="33"/>
        <v>0.93477448281793662</v>
      </c>
      <c r="U38">
        <f t="shared" si="34"/>
        <v>0.91399214818055052</v>
      </c>
      <c r="V38">
        <f t="shared" si="35"/>
        <v>0.89367185592977116</v>
      </c>
      <c r="W38">
        <f t="shared" si="36"/>
        <v>0.87380333372754104</v>
      </c>
      <c r="X38">
        <f t="shared" si="37"/>
        <v>0.85437653761512899</v>
      </c>
      <c r="Y38">
        <f t="shared" si="38"/>
        <v>0.8353816469356975</v>
      </c>
      <c r="Z38">
        <f t="shared" si="39"/>
        <v>0.81680905936975101</v>
      </c>
      <c r="AA38">
        <f t="shared" si="40"/>
        <v>0.7986493860809617</v>
      </c>
    </row>
  </sheetData>
  <dataValidations count="4">
    <dataValidation allowBlank="1" showInputMessage="1" showErrorMessage="1" prompt="Beta - 5Y Monthly, relative to EU Equity Market_x000a_" sqref="E5" xr:uid="{00000000-0002-0000-0500-000000000000}"/>
    <dataValidation allowBlank="1" showInputMessage="1" showErrorMessage="1" prompt="Equity Return - CAPM_x000a_" sqref="F5" xr:uid="{00000000-0002-0000-0500-000001000000}"/>
    <dataValidation allowBlank="1" showInputMessage="1" showErrorMessage="1" prompt="Debt Return_x000a_" sqref="I5" xr:uid="{00000000-0002-0000-0500-000002000000}"/>
    <dataValidation allowBlank="1" showInputMessage="1" showErrorMessage="1" prompt="WACC_x000a_" sqref="O5" xr:uid="{00000000-0002-0000-0500-000003000000}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P41"/>
  <sheetViews>
    <sheetView showGridLines="0" zoomScale="65" zoomScaleNormal="80" workbookViewId="0">
      <selection activeCell="N12" sqref="N12"/>
    </sheetView>
  </sheetViews>
  <sheetFormatPr defaultColWidth="15.6328125" defaultRowHeight="14.5" x14ac:dyDescent="0.35"/>
  <cols>
    <col min="1" max="1" width="4.6328125" customWidth="1"/>
    <col min="2" max="2" width="20.6328125" customWidth="1"/>
    <col min="3" max="6" width="15.81640625" bestFit="1" customWidth="1"/>
    <col min="7" max="9" width="16.08984375" bestFit="1" customWidth="1"/>
    <col min="10" max="12" width="16.81640625" bestFit="1" customWidth="1"/>
    <col min="14" max="14" width="17.1796875" bestFit="1" customWidth="1"/>
  </cols>
  <sheetData>
    <row r="2" spans="2:16" s="1" customFormat="1" ht="21" customHeight="1" x14ac:dyDescent="0.5">
      <c r="B2" s="4" t="s">
        <v>113</v>
      </c>
    </row>
    <row r="3" spans="2:16" s="36" customFormat="1" ht="5" customHeight="1" x14ac:dyDescent="0.35"/>
    <row r="5" spans="2:16" x14ac:dyDescent="0.35">
      <c r="B5" s="46" t="s">
        <v>47</v>
      </c>
      <c r="C5" t="str">
        <f>ControlPanel!$C$6</f>
        <v>accelerated</v>
      </c>
    </row>
    <row r="6" spans="2:16" x14ac:dyDescent="0.35">
      <c r="B6" s="46" t="s">
        <v>48</v>
      </c>
      <c r="C6" t="str">
        <f>ControlPanel!$C$7</f>
        <v>P75</v>
      </c>
    </row>
    <row r="8" spans="2:16" x14ac:dyDescent="0.35">
      <c r="B8" s="45" t="s">
        <v>114</v>
      </c>
      <c r="C8" s="18">
        <v>2026</v>
      </c>
      <c r="D8" s="18">
        <f t="shared" ref="D8:L8" si="0">C8+1</f>
        <v>2027</v>
      </c>
      <c r="E8" s="18">
        <f t="shared" si="0"/>
        <v>2028</v>
      </c>
      <c r="F8" s="18">
        <f t="shared" si="0"/>
        <v>2029</v>
      </c>
      <c r="G8" s="18">
        <f t="shared" si="0"/>
        <v>2030</v>
      </c>
      <c r="H8" s="18">
        <f t="shared" si="0"/>
        <v>2031</v>
      </c>
      <c r="I8" s="18">
        <f t="shared" si="0"/>
        <v>2032</v>
      </c>
      <c r="J8" s="18">
        <f t="shared" si="0"/>
        <v>2033</v>
      </c>
      <c r="K8" s="18">
        <f t="shared" si="0"/>
        <v>2034</v>
      </c>
      <c r="L8" s="18">
        <f t="shared" si="0"/>
        <v>2035</v>
      </c>
      <c r="N8" s="47" t="s">
        <v>115</v>
      </c>
      <c r="P8" s="26"/>
    </row>
    <row r="10" spans="2:16" ht="18.5" customHeight="1" x14ac:dyDescent="0.45">
      <c r="B10" s="16" t="s">
        <v>116</v>
      </c>
    </row>
    <row r="11" spans="2:16" ht="5" customHeight="1" x14ac:dyDescent="0.35">
      <c r="B11" s="14"/>
    </row>
    <row r="12" spans="2:16" x14ac:dyDescent="0.35">
      <c r="B12" s="6" t="s">
        <v>55</v>
      </c>
      <c r="C12" s="26">
        <f t="array" ref="C12">'Carbon_Emission&amp;Exposure'!G9*_xlfn.XLOOKUP(NPV_Output!C$8,_xlfn.ANCHORARRAY( ControlPanel!$B$10),_xlfn.ANCHORARRAY( ControlPanel!$C$10))*Assumptions!$O$12</f>
        <v>5648051.9011780424</v>
      </c>
      <c r="D12" s="26">
        <f t="array" ref="D12">'Carbon_Emission&amp;Exposure'!H9*_xlfn.XLOOKUP(NPV_Output!D$8,_xlfn.ANCHORARRAY( ControlPanel!$B$10),_xlfn.ANCHORARRAY( ControlPanel!$C$10))*Assumptions!$O$12</f>
        <v>6897517.987593893</v>
      </c>
      <c r="E12" s="26">
        <f t="array" ref="E12">'Carbon_Emission&amp;Exposure'!I9*_xlfn.XLOOKUP(NPV_Output!E$8,_xlfn.ANCHORARRAY( ControlPanel!$B$10),_xlfn.ANCHORARRAY( ControlPanel!$C$10))*Assumptions!$O$12</f>
        <v>7624519.1149747316</v>
      </c>
      <c r="F12" s="26">
        <f t="array" ref="F12">'Carbon_Emission&amp;Exposure'!J9*_xlfn.XLOOKUP(NPV_Output!F$8,_xlfn.ANCHORARRAY( ControlPanel!$B$10),_xlfn.ANCHORARRAY( ControlPanel!$C$10))*Assumptions!$O$12</f>
        <v>8304529.4786208197</v>
      </c>
      <c r="G12" s="26">
        <f t="array" ref="G12">'Carbon_Emission&amp;Exposure'!K9*_xlfn.XLOOKUP(NPV_Output!G$8,_xlfn.ANCHORARRAY( ControlPanel!$B$10),_xlfn.ANCHORARRAY( ControlPanel!$C$10))*Assumptions!$O$12</f>
        <v>8955292.5242864136</v>
      </c>
      <c r="H12" s="26">
        <f t="array" ref="H12">'Carbon_Emission&amp;Exposure'!L9*_xlfn.XLOOKUP(NPV_Output!H$8,_xlfn.ANCHORARRAY( ControlPanel!$B$10),_xlfn.ANCHORARRAY( ControlPanel!$C$10))*Assumptions!$O$12</f>
        <v>9610745.0077379439</v>
      </c>
      <c r="I12" s="26">
        <f t="array" ref="I12">'Carbon_Emission&amp;Exposure'!M9*_xlfn.XLOOKUP(NPV_Output!I$8,_xlfn.ANCHORARRAY( ControlPanel!$B$10),_xlfn.ANCHORARRAY( ControlPanel!$C$10))*Assumptions!$O$12</f>
        <v>10278124.768396115</v>
      </c>
      <c r="J12" s="26">
        <f t="array" ref="J12">'Carbon_Emission&amp;Exposure'!N9*_xlfn.XLOOKUP(NPV_Output!J$8,_xlfn.ANCHORARRAY( ControlPanel!$B$10),_xlfn.ANCHORARRAY( ControlPanel!$C$10))*Assumptions!$O$12</f>
        <v>10955400.440250218</v>
      </c>
      <c r="K12" s="26">
        <f t="array" ref="K12">'Carbon_Emission&amp;Exposure'!O9*_xlfn.XLOOKUP(NPV_Output!K$8,_xlfn.ANCHORARRAY( ControlPanel!$B$10),_xlfn.ANCHORARRAY( ControlPanel!$C$10))*Assumptions!$O$12</f>
        <v>11650674.624385931</v>
      </c>
      <c r="L12" s="26">
        <f t="array" ref="L12">'Carbon_Emission&amp;Exposure'!P9*_xlfn.XLOOKUP(NPV_Output!L$8,_xlfn.ANCHORARRAY( ControlPanel!$B$10),_xlfn.ANCHORARRAY( ControlPanel!$C$10))*Assumptions!$O$12</f>
        <v>12365470.963738112</v>
      </c>
      <c r="N12" s="26">
        <f>SUMPRODUCT(C12:L12,DCF!R9:AA9)</f>
        <v>73541710.089176625</v>
      </c>
    </row>
    <row r="13" spans="2:16" x14ac:dyDescent="0.35">
      <c r="B13" s="6" t="s">
        <v>56</v>
      </c>
      <c r="C13" s="26">
        <f t="array" ref="C13">'Carbon_Emission&amp;Exposure'!G10*_xlfn.XLOOKUP(NPV_Output!C$8,_xlfn.ANCHORARRAY( ControlPanel!$B$10),_xlfn.ANCHORARRAY( ControlPanel!$C$10))*Assumptions!$O$12</f>
        <v>2236424.9397101924</v>
      </c>
      <c r="D13" s="26">
        <f t="array" ref="D13">'Carbon_Emission&amp;Exposure'!H10*_xlfn.XLOOKUP(NPV_Output!D$8,_xlfn.ANCHORARRAY( ControlPanel!$B$10),_xlfn.ANCHORARRAY( ControlPanel!$C$10))*Assumptions!$O$12</f>
        <v>2731168.4664826132</v>
      </c>
      <c r="E13" s="26">
        <f t="array" ref="E13">'Carbon_Emission&amp;Exposure'!I10*_xlfn.XLOOKUP(NPV_Output!E$8,_xlfn.ANCHORARRAY( ControlPanel!$B$10),_xlfn.ANCHORARRAY( ControlPanel!$C$10))*Assumptions!$O$12</f>
        <v>3019034.7044208334</v>
      </c>
      <c r="F13" s="26">
        <f t="array" ref="F13">'Carbon_Emission&amp;Exposure'!J10*_xlfn.XLOOKUP(NPV_Output!F$8,_xlfn.ANCHORARRAY( ControlPanel!$B$10),_xlfn.ANCHORARRAY( ControlPanel!$C$10))*Assumptions!$O$12</f>
        <v>3288294.2939444901</v>
      </c>
      <c r="G13" s="26">
        <f t="array" ref="G13">'Carbon_Emission&amp;Exposure'!K10*_xlfn.XLOOKUP(NPV_Output!G$8,_xlfn.ANCHORARRAY( ControlPanel!$B$10),_xlfn.ANCHORARRAY( ControlPanel!$C$10))*Assumptions!$O$12</f>
        <v>3545972.9999182681</v>
      </c>
      <c r="H13" s="26">
        <f t="array" ref="H13">'Carbon_Emission&amp;Exposure'!L10*_xlfn.XLOOKUP(NPV_Output!H$8,_xlfn.ANCHORARRAY( ControlPanel!$B$10),_xlfn.ANCHORARRAY( ControlPanel!$C$10))*Assumptions!$O$12</f>
        <v>3805508.5542003112</v>
      </c>
      <c r="I13" s="26">
        <f t="array" ref="I13">'Carbon_Emission&amp;Exposure'!M10*_xlfn.XLOOKUP(NPV_Output!I$8,_xlfn.ANCHORARRAY( ControlPanel!$B$10),_xlfn.ANCHORARRAY( ControlPanel!$C$10))*Assumptions!$O$12</f>
        <v>4069766.8802759685</v>
      </c>
      <c r="J13" s="26">
        <f t="array" ref="J13">'Carbon_Emission&amp;Exposure'!N10*_xlfn.XLOOKUP(NPV_Output!J$8,_xlfn.ANCHORARRAY( ControlPanel!$B$10),_xlfn.ANCHORARRAY( ControlPanel!$C$10))*Assumptions!$O$12</f>
        <v>4337943.6304360684</v>
      </c>
      <c r="K13" s="26">
        <f t="array" ref="K13">'Carbon_Emission&amp;Exposure'!O10*_xlfn.XLOOKUP(NPV_Output!K$8,_xlfn.ANCHORARRAY( ControlPanel!$B$10),_xlfn.ANCHORARRAY( ControlPanel!$C$10))*Assumptions!$O$12</f>
        <v>4613247.142610495</v>
      </c>
      <c r="L13" s="26">
        <f t="array" ref="L13">'Carbon_Emission&amp;Exposure'!P10*_xlfn.XLOOKUP(NPV_Output!L$8,_xlfn.ANCHORARRAY( ControlPanel!$B$10),_xlfn.ANCHORARRAY( ControlPanel!$C$10))*Assumptions!$O$12</f>
        <v>4896280.7244738881</v>
      </c>
      <c r="N13" s="26">
        <f>SUMPRODUCT(C13:L13,DCF!R10:AA10)</f>
        <v>23675156.811297424</v>
      </c>
    </row>
    <row r="14" spans="2:16" x14ac:dyDescent="0.35">
      <c r="B14" s="6" t="s">
        <v>30</v>
      </c>
      <c r="C14" s="26">
        <f t="array" ref="C14">'Carbon_Emission&amp;Exposure'!G11*_xlfn.XLOOKUP(NPV_Output!C$8,_xlfn.ANCHORARRAY( ControlPanel!$B$10),_xlfn.ANCHORARRAY( ControlPanel!$C$10))*Assumptions!$O$12</f>
        <v>6894905.8352792086</v>
      </c>
      <c r="D14" s="26">
        <f t="array" ref="D14">'Carbon_Emission&amp;Exposure'!H11*_xlfn.XLOOKUP(NPV_Output!D$8,_xlfn.ANCHORARRAY( ControlPanel!$B$10),_xlfn.ANCHORARRAY( ControlPanel!$C$10))*Assumptions!$O$12</f>
        <v>8420201.8419280257</v>
      </c>
      <c r="E14" s="26">
        <f t="array" ref="E14">'Carbon_Emission&amp;Exposure'!I11*_xlfn.XLOOKUP(NPV_Output!E$8,_xlfn.ANCHORARRAY( ControlPanel!$B$10),_xlfn.ANCHORARRAY( ControlPanel!$C$10))*Assumptions!$O$12</f>
        <v>9307694.4505542349</v>
      </c>
      <c r="F14" s="26">
        <f t="array" ref="F14">'Carbon_Emission&amp;Exposure'!J11*_xlfn.XLOOKUP(NPV_Output!F$8,_xlfn.ANCHORARRAY( ControlPanel!$B$10),_xlfn.ANCHORARRAY( ControlPanel!$C$10))*Assumptions!$O$12</f>
        <v>10137822.697671764</v>
      </c>
      <c r="G14" s="26">
        <f t="array" ref="G14">'Carbon_Emission&amp;Exposure'!K11*_xlfn.XLOOKUP(NPV_Output!G$8,_xlfn.ANCHORARRAY( ControlPanel!$B$10),_xlfn.ANCHORARRAY( ControlPanel!$C$10))*Assumptions!$O$12</f>
        <v>10932247.040693099</v>
      </c>
      <c r="H14" s="26">
        <f t="array" ref="H14">'Carbon_Emission&amp;Exposure'!L11*_xlfn.XLOOKUP(NPV_Output!H$8,_xlfn.ANCHORARRAY( ControlPanel!$B$10),_xlfn.ANCHORARRAY( ControlPanel!$C$10))*Assumptions!$O$12</f>
        <v>11732396.053480251</v>
      </c>
      <c r="I14" s="26">
        <f t="array" ref="I14">'Carbon_Emission&amp;Exposure'!M11*_xlfn.XLOOKUP(NPV_Output!I$8,_xlfn.ANCHORARRAY( ControlPanel!$B$10),_xlfn.ANCHORARRAY( ControlPanel!$C$10))*Assumptions!$O$12</f>
        <v>12547105.388065062</v>
      </c>
      <c r="J14" s="26">
        <f t="array" ref="J14">'Carbon_Emission&amp;Exposure'!N11*_xlfn.XLOOKUP(NPV_Output!J$8,_xlfn.ANCHORARRAY( ControlPanel!$B$10),_xlfn.ANCHORARRAY( ControlPanel!$C$10))*Assumptions!$O$12</f>
        <v>13373895.237674188</v>
      </c>
      <c r="K14" s="26">
        <f t="array" ref="K14">'Carbon_Emission&amp;Exposure'!O11*_xlfn.XLOOKUP(NPV_Output!K$8,_xlfn.ANCHORARRAY( ControlPanel!$B$10),_xlfn.ANCHORARRAY( ControlPanel!$C$10))*Assumptions!$O$12</f>
        <v>14222656.919257961</v>
      </c>
      <c r="L14" s="26">
        <f t="array" ref="L14">'Carbon_Emission&amp;Exposure'!P11*_xlfn.XLOOKUP(NPV_Output!L$8,_xlfn.ANCHORARRAY( ControlPanel!$B$10),_xlfn.ANCHORARRAY( ControlPanel!$C$10))*Assumptions!$O$12</f>
        <v>15095250.432466934</v>
      </c>
      <c r="N14" s="26">
        <f>SUMPRODUCT(C14:L14,DCF!R11:AA11)</f>
        <v>82955182.160289794</v>
      </c>
    </row>
    <row r="15" spans="2:16" x14ac:dyDescent="0.35">
      <c r="B15" s="6" t="s">
        <v>57</v>
      </c>
      <c r="C15" s="26">
        <f t="array" ref="C15">'Carbon_Emission&amp;Exposure'!G12*_xlfn.XLOOKUP(NPV_Output!C$8,_xlfn.ANCHORARRAY( ControlPanel!$B$10),_xlfn.ANCHORARRAY( ControlPanel!$C$10))*Assumptions!$O$12</f>
        <v>6481593.2598305428</v>
      </c>
      <c r="D15" s="26">
        <f t="array" ref="D15">'Carbon_Emission&amp;Exposure'!H12*_xlfn.XLOOKUP(NPV_Output!D$8,_xlfn.ANCHORARRAY( ControlPanel!$B$10),_xlfn.ANCHORARRAY( ControlPanel!$C$10))*Assumptions!$O$12</f>
        <v>7915455.9625459127</v>
      </c>
      <c r="E15" s="26">
        <f t="array" ref="E15">'Carbon_Emission&amp;Exposure'!I12*_xlfn.XLOOKUP(NPV_Output!E$8,_xlfn.ANCHORARRAY( ControlPanel!$B$10),_xlfn.ANCHORARRAY( ControlPanel!$C$10))*Assumptions!$O$12</f>
        <v>8749748.1556006577</v>
      </c>
      <c r="F15" s="26">
        <f t="array" ref="F15">'Carbon_Emission&amp;Exposure'!J12*_xlfn.XLOOKUP(NPV_Output!F$8,_xlfn.ANCHORARRAY( ControlPanel!$B$10),_xlfn.ANCHORARRAY( ControlPanel!$C$10))*Assumptions!$O$12</f>
        <v>9530114.6725414973</v>
      </c>
      <c r="G15" s="26">
        <f t="array" ref="G15">'Carbon_Emission&amp;Exposure'!K12*_xlfn.XLOOKUP(NPV_Output!G$8,_xlfn.ANCHORARRAY( ControlPanel!$B$10),_xlfn.ANCHORARRAY( ControlPanel!$C$10))*Assumptions!$O$12</f>
        <v>10276917.542687422</v>
      </c>
      <c r="H15" s="26">
        <f t="array" ref="H15">'Carbon_Emission&amp;Exposure'!L12*_xlfn.XLOOKUP(NPV_Output!H$8,_xlfn.ANCHORARRAY( ControlPanel!$B$10),_xlfn.ANCHORARRAY( ControlPanel!$C$10))*Assumptions!$O$12</f>
        <v>11029101.919391276</v>
      </c>
      <c r="I15" s="26">
        <f t="array" ref="I15">'Carbon_Emission&amp;Exposure'!M12*_xlfn.XLOOKUP(NPV_Output!I$8,_xlfn.ANCHORARRAY( ControlPanel!$B$10),_xlfn.ANCHORARRAY( ControlPanel!$C$10))*Assumptions!$O$12</f>
        <v>11794973.804797834</v>
      </c>
      <c r="J15" s="26">
        <f t="array" ref="J15">'Carbon_Emission&amp;Exposure'!N12*_xlfn.XLOOKUP(NPV_Output!J$8,_xlfn.ANCHORARRAY( ControlPanel!$B$10),_xlfn.ANCHORARRAY( ControlPanel!$C$10))*Assumptions!$O$12</f>
        <v>12572202.043231897</v>
      </c>
      <c r="K15" s="26">
        <f t="array" ref="K15">'Carbon_Emission&amp;Exposure'!O12*_xlfn.XLOOKUP(NPV_Output!K$8,_xlfn.ANCHORARRAY( ControlPanel!$B$10),_xlfn.ANCHORARRAY( ControlPanel!$C$10))*Assumptions!$O$12</f>
        <v>13370085.02031436</v>
      </c>
      <c r="L15" s="26">
        <f t="array" ref="L15">'Carbon_Emission&amp;Exposure'!P12*_xlfn.XLOOKUP(NPV_Output!L$8,_xlfn.ANCHORARRAY( ControlPanel!$B$10),_xlfn.ANCHORARRAY( ControlPanel!$C$10))*Assumptions!$O$12</f>
        <v>14190371.238705928</v>
      </c>
      <c r="N15" s="26">
        <f>SUMPRODUCT(C15:L15,DCF!R12:AA12)</f>
        <v>84919630.672074601</v>
      </c>
    </row>
    <row r="16" spans="2:16" x14ac:dyDescent="0.35">
      <c r="B16" s="6" t="s">
        <v>58</v>
      </c>
      <c r="C16" s="26">
        <f t="array" ref="C16">'Carbon_Emission&amp;Exposure'!G13*_xlfn.XLOOKUP(NPV_Output!C$8,_xlfn.ANCHORARRAY( ControlPanel!$B$10),_xlfn.ANCHORARRAY( ControlPanel!$C$10))*Assumptions!$O$12</f>
        <v>3412180.2580882628</v>
      </c>
      <c r="D16" s="26">
        <f t="array" ref="D16">'Carbon_Emission&amp;Exposure'!H13*_xlfn.XLOOKUP(NPV_Output!D$8,_xlfn.ANCHORARRAY( ControlPanel!$B$10),_xlfn.ANCHORARRAY( ControlPanel!$C$10))*Assumptions!$O$12</f>
        <v>4167025.2184063033</v>
      </c>
      <c r="E16" s="26">
        <f t="array" ref="E16">'Carbon_Emission&amp;Exposure'!I13*_xlfn.XLOOKUP(NPV_Output!E$8,_xlfn.ANCHORARRAY( ControlPanel!$B$10),_xlfn.ANCHORARRAY( ControlPanel!$C$10))*Assumptions!$O$12</f>
        <v>4606231.3266113997</v>
      </c>
      <c r="F16" s="26">
        <f t="array" ref="F16">'Carbon_Emission&amp;Exposure'!J13*_xlfn.XLOOKUP(NPV_Output!F$8,_xlfn.ANCHORARRAY( ControlPanel!$B$10),_xlfn.ANCHORARRAY( ControlPanel!$C$10))*Assumptions!$O$12</f>
        <v>5017048.7161691412</v>
      </c>
      <c r="G16" s="26">
        <f t="array" ref="G16">'Carbon_Emission&amp;Exposure'!K13*_xlfn.XLOOKUP(NPV_Output!G$8,_xlfn.ANCHORARRAY( ControlPanel!$B$10),_xlfn.ANCHORARRAY( ControlPanel!$C$10))*Assumptions!$O$12</f>
        <v>5410196.8061593175</v>
      </c>
      <c r="H16" s="26">
        <f t="array" ref="H16">'Carbon_Emission&amp;Exposure'!L13*_xlfn.XLOOKUP(NPV_Output!H$8,_xlfn.ANCHORARRAY( ControlPanel!$B$10),_xlfn.ANCHORARRAY( ControlPanel!$C$10))*Assumptions!$O$12</f>
        <v>5806177.9450156651</v>
      </c>
      <c r="I16" s="26">
        <f t="array" ref="I16">'Carbon_Emission&amp;Exposure'!M13*_xlfn.XLOOKUP(NPV_Output!I$8,_xlfn.ANCHORARRAY( ControlPanel!$B$10),_xlfn.ANCHORARRAY( ControlPanel!$C$10))*Assumptions!$O$12</f>
        <v>6209364.7577095255</v>
      </c>
      <c r="J16" s="26">
        <f t="array" ref="J16">'Carbon_Emission&amp;Exposure'!N13*_xlfn.XLOOKUP(NPV_Output!J$8,_xlfn.ANCHORARRAY( ControlPanel!$B$10),_xlfn.ANCHORARRAY( ControlPanel!$C$10))*Assumptions!$O$12</f>
        <v>6618530.0269419178</v>
      </c>
      <c r="K16" s="26">
        <f t="array" ref="K16">'Carbon_Emission&amp;Exposure'!O13*_xlfn.XLOOKUP(NPV_Output!K$8,_xlfn.ANCHORARRAY( ControlPanel!$B$10),_xlfn.ANCHORARRAY( ControlPanel!$C$10))*Assumptions!$O$12</f>
        <v>7038568.8096187338</v>
      </c>
      <c r="L16" s="26">
        <f t="array" ref="L16">'Carbon_Emission&amp;Exposure'!P13*_xlfn.XLOOKUP(NPV_Output!L$8,_xlfn.ANCHORARRAY( ControlPanel!$B$10),_xlfn.ANCHORARRAY( ControlPanel!$C$10))*Assumptions!$O$12</f>
        <v>7470401.5902598873</v>
      </c>
      <c r="N16" s="26">
        <f>SUMPRODUCT(C16:L16,DCF!R13:AA13)</f>
        <v>41673517.948431343</v>
      </c>
    </row>
    <row r="17" spans="2:14" x14ac:dyDescent="0.35">
      <c r="B17" s="6" t="s">
        <v>31</v>
      </c>
      <c r="C17" s="26">
        <f t="array" ref="C17">'Carbon_Emission&amp;Exposure'!G14*_xlfn.XLOOKUP(NPV_Output!C$8,_xlfn.ANCHORARRAY( ControlPanel!$B$10),_xlfn.ANCHORARRAY( ControlPanel!$C$10))*Assumptions!$O$12</f>
        <v>512352.67050263193</v>
      </c>
      <c r="D17" s="26">
        <f t="array" ref="D17">'Carbon_Emission&amp;Exposure'!H14*_xlfn.XLOOKUP(NPV_Output!D$8,_xlfn.ANCHORARRAY( ControlPanel!$B$10),_xlfn.ANCHORARRAY( ControlPanel!$C$10))*Assumptions!$O$12</f>
        <v>625695.69519121724</v>
      </c>
      <c r="E17" s="26">
        <f t="array" ref="E17">'Carbon_Emission&amp;Exposure'!I14*_xlfn.XLOOKUP(NPV_Output!E$8,_xlfn.ANCHORARRAY( ControlPanel!$B$10),_xlfn.ANCHORARRAY( ControlPanel!$C$10))*Assumptions!$O$12</f>
        <v>691644.26924633642</v>
      </c>
      <c r="F17" s="26">
        <f t="array" ref="F17">'Carbon_Emission&amp;Exposure'!J14*_xlfn.XLOOKUP(NPV_Output!F$8,_xlfn.ANCHORARRAY( ControlPanel!$B$10),_xlfn.ANCHORARRAY( ControlPanel!$C$10))*Assumptions!$O$12</f>
        <v>753330.16234354232</v>
      </c>
      <c r="G17" s="26">
        <f t="array" ref="G17">'Carbon_Emission&amp;Exposure'!K14*_xlfn.XLOOKUP(NPV_Output!G$8,_xlfn.ANCHORARRAY( ControlPanel!$B$10),_xlfn.ANCHORARRAY( ControlPanel!$C$10))*Assumptions!$O$12</f>
        <v>812362.93862551125</v>
      </c>
      <c r="H17" s="26">
        <f t="array" ref="H17">'Carbon_Emission&amp;Exposure'!L14*_xlfn.XLOOKUP(NPV_Output!H$8,_xlfn.ANCHORARRAY( ControlPanel!$B$10),_xlfn.ANCHORARRAY( ControlPanel!$C$10))*Assumptions!$O$12</f>
        <v>871821.10865647893</v>
      </c>
      <c r="I17" s="26">
        <f t="array" ref="I17">'Carbon_Emission&amp;Exposure'!M14*_xlfn.XLOOKUP(NPV_Output!I$8,_xlfn.ANCHORARRAY( ControlPanel!$B$10),_xlfn.ANCHORARRAY( ControlPanel!$C$10))*Assumptions!$O$12</f>
        <v>932361.23976634024</v>
      </c>
      <c r="J17" s="26">
        <f t="array" ref="J17">'Carbon_Emission&amp;Exposure'!N14*_xlfn.XLOOKUP(NPV_Output!J$8,_xlfn.ANCHORARRAY( ControlPanel!$B$10),_xlfn.ANCHORARRAY( ControlPanel!$C$10))*Assumptions!$O$12</f>
        <v>993799.06031266693</v>
      </c>
      <c r="K17" s="26">
        <f t="array" ref="K17">'Carbon_Emission&amp;Exposure'!O14*_xlfn.XLOOKUP(NPV_Output!K$8,_xlfn.ANCHORARRAY( ControlPanel!$B$10),_xlfn.ANCHORARRAY( ControlPanel!$C$10))*Assumptions!$O$12</f>
        <v>1056869.5828939432</v>
      </c>
      <c r="L17" s="26">
        <f t="array" ref="L17">'Carbon_Emission&amp;Exposure'!P14*_xlfn.XLOOKUP(NPV_Output!L$8,_xlfn.ANCHORARRAY( ControlPanel!$B$10),_xlfn.ANCHORARRAY( ControlPanel!$C$10))*Assumptions!$O$12</f>
        <v>1121711.0219848638</v>
      </c>
      <c r="N17" s="26">
        <f>SUMPRODUCT(C17:L17,DCF!R14:AA14)</f>
        <v>6549154.0136132659</v>
      </c>
    </row>
    <row r="18" spans="2:14" x14ac:dyDescent="0.35">
      <c r="B18" s="6" t="s">
        <v>59</v>
      </c>
      <c r="C18" s="26">
        <f t="array" ref="C18">'Carbon_Emission&amp;Exposure'!G15*_xlfn.XLOOKUP(NPV_Output!C$8,_xlfn.ANCHORARRAY( ControlPanel!$B$10),_xlfn.ANCHORARRAY( ControlPanel!$C$10))*Assumptions!$O$12</f>
        <v>2633415.2648566705</v>
      </c>
      <c r="D18" s="26">
        <f t="array" ref="D18">'Carbon_Emission&amp;Exposure'!H15*_xlfn.XLOOKUP(NPV_Output!D$8,_xlfn.ANCHORARRAY( ControlPanel!$B$10),_xlfn.ANCHORARRAY( ControlPanel!$C$10))*Assumptions!$O$12</f>
        <v>3215981.2756615533</v>
      </c>
      <c r="E18" s="26">
        <f t="array" ref="E18">'Carbon_Emission&amp;Exposure'!I15*_xlfn.XLOOKUP(NPV_Output!E$8,_xlfn.ANCHORARRAY( ControlPanel!$B$10),_xlfn.ANCHORARRAY( ControlPanel!$C$10))*Assumptions!$O$12</f>
        <v>3554946.9756781184</v>
      </c>
      <c r="F18" s="26">
        <f t="array" ref="F18">'Carbon_Emission&amp;Exposure'!J15*_xlfn.XLOOKUP(NPV_Output!F$8,_xlfn.ANCHORARRAY( ControlPanel!$B$10),_xlfn.ANCHORARRAY( ControlPanel!$C$10))*Assumptions!$O$12</f>
        <v>3872003.1400368134</v>
      </c>
      <c r="G18" s="26">
        <f t="array" ref="G18">'Carbon_Emission&amp;Exposure'!K15*_xlfn.XLOOKUP(NPV_Output!G$8,_xlfn.ANCHORARRAY( ControlPanel!$B$10),_xlfn.ANCHORARRAY( ControlPanel!$C$10))*Assumptions!$O$12</f>
        <v>4175422.6850843634</v>
      </c>
      <c r="H18" s="26">
        <f t="array" ref="H18">'Carbon_Emission&amp;Exposure'!L15*_xlfn.XLOOKUP(NPV_Output!H$8,_xlfn.ANCHORARRAY( ControlPanel!$B$10),_xlfn.ANCHORARRAY( ControlPanel!$C$10))*Assumptions!$O$12</f>
        <v>4481028.6896873778</v>
      </c>
      <c r="I18" s="26">
        <f t="array" ref="I18">'Carbon_Emission&amp;Exposure'!M15*_xlfn.XLOOKUP(NPV_Output!I$8,_xlfn.ANCHORARRAY( ControlPanel!$B$10),_xlfn.ANCHORARRAY( ControlPanel!$C$10))*Assumptions!$O$12</f>
        <v>4792195.8106564758</v>
      </c>
      <c r="J18" s="26">
        <f t="array" ref="J18">'Carbon_Emission&amp;Exposure'!N15*_xlfn.XLOOKUP(NPV_Output!J$8,_xlfn.ANCHORARRAY( ControlPanel!$B$10),_xlfn.ANCHORARRAY( ControlPanel!$C$10))*Assumptions!$O$12</f>
        <v>5107976.9196092207</v>
      </c>
      <c r="K18" s="26">
        <f t="array" ref="K18">'Carbon_Emission&amp;Exposure'!O15*_xlfn.XLOOKUP(NPV_Output!K$8,_xlfn.ANCHORARRAY( ControlPanel!$B$10),_xlfn.ANCHORARRAY( ControlPanel!$C$10))*Assumptions!$O$12</f>
        <v>5432149.8701768061</v>
      </c>
      <c r="L18" s="26">
        <f t="array" ref="L18">'Carbon_Emission&amp;Exposure'!P15*_xlfn.XLOOKUP(NPV_Output!L$8,_xlfn.ANCHORARRAY( ControlPanel!$B$10),_xlfn.ANCHORARRAY( ControlPanel!$C$10))*Assumptions!$O$12</f>
        <v>5765425.063862808</v>
      </c>
      <c r="N18" s="26">
        <f>SUMPRODUCT(C18:L18,DCF!R15:AA15)</f>
        <v>33661924.123065241</v>
      </c>
    </row>
    <row r="19" spans="2:14" x14ac:dyDescent="0.35">
      <c r="B19" s="6" t="s">
        <v>60</v>
      </c>
      <c r="C19" s="26">
        <f t="array" ref="C19">'Carbon_Emission&amp;Exposure'!G16*_xlfn.XLOOKUP(NPV_Output!C$8,_xlfn.ANCHORARRAY( ControlPanel!$B$10),_xlfn.ANCHORARRAY( ControlPanel!$C$10))*Assumptions!$O$12</f>
        <v>132098.27805381344</v>
      </c>
      <c r="D19" s="26">
        <f t="array" ref="D19">'Carbon_Emission&amp;Exposure'!H16*_xlfn.XLOOKUP(NPV_Output!D$8,_xlfn.ANCHORARRAY( ControlPanel!$B$10),_xlfn.ANCHORARRAY( ControlPanel!$C$10))*Assumptions!$O$12</f>
        <v>164664.5973272596</v>
      </c>
      <c r="E19" s="26">
        <f t="array" ref="E19">'Carbon_Emission&amp;Exposure'!I16*_xlfn.XLOOKUP(NPV_Output!E$8,_xlfn.ANCHORARRAY( ControlPanel!$B$10),_xlfn.ANCHORARRAY( ControlPanel!$C$10))*Assumptions!$O$12</f>
        <v>185792.75277514962</v>
      </c>
      <c r="F19" s="26">
        <f t="array" ref="F19">'Carbon_Emission&amp;Exposure'!J16*_xlfn.XLOOKUP(NPV_Output!F$8,_xlfn.ANCHORARRAY( ControlPanel!$B$10),_xlfn.ANCHORARRAY( ControlPanel!$C$10))*Assumptions!$O$12</f>
        <v>206557.16301887206</v>
      </c>
      <c r="G19" s="26">
        <f t="array" ref="G19">'Carbon_Emission&amp;Exposure'!K16*_xlfn.XLOOKUP(NPV_Output!G$8,_xlfn.ANCHORARRAY( ControlPanel!$B$10),_xlfn.ANCHORARRAY( ControlPanel!$C$10))*Assumptions!$O$12</f>
        <v>227359.92788419529</v>
      </c>
      <c r="H19" s="26">
        <f t="array" ref="H19">'Carbon_Emission&amp;Exposure'!L16*_xlfn.XLOOKUP(NPV_Output!H$8,_xlfn.ANCHORARRAY( ControlPanel!$B$10),_xlfn.ANCHORARRAY( ControlPanel!$C$10))*Assumptions!$O$12</f>
        <v>249057.78309915515</v>
      </c>
      <c r="I19" s="26">
        <f t="array" ref="I19">'Carbon_Emission&amp;Exposure'!M16*_xlfn.XLOOKUP(NPV_Output!I$8,_xlfn.ANCHORARRAY( ControlPanel!$B$10),_xlfn.ANCHORARRAY( ControlPanel!$C$10))*Assumptions!$O$12</f>
        <v>271872.86628935218</v>
      </c>
      <c r="J19" s="26">
        <f t="array" ref="J19">'Carbon_Emission&amp;Exposure'!N16*_xlfn.XLOOKUP(NPV_Output!J$8,_xlfn.ANCHORARRAY( ControlPanel!$B$10),_xlfn.ANCHORARRAY( ControlPanel!$C$10))*Assumptions!$O$12</f>
        <v>295793.85953677777</v>
      </c>
      <c r="K19" s="26">
        <f t="array" ref="K19">'Carbon_Emission&amp;Exposure'!O16*_xlfn.XLOOKUP(NPV_Output!K$8,_xlfn.ANCHORARRAY( ControlPanel!$B$10),_xlfn.ANCHORARRAY( ControlPanel!$C$10))*Assumptions!$O$12</f>
        <v>321085.64406769042</v>
      </c>
      <c r="L19" s="26">
        <f t="array" ref="L19">'Carbon_Emission&amp;Exposure'!P16*_xlfn.XLOOKUP(NPV_Output!L$8,_xlfn.ANCHORARRAY( ControlPanel!$B$10),_xlfn.ANCHORARRAY( ControlPanel!$C$10))*Assumptions!$O$12</f>
        <v>347847.9065237625</v>
      </c>
      <c r="N19" s="26">
        <f>SUMPRODUCT(C19:L19,DCF!R16:AA16)</f>
        <v>1327494.3720402536</v>
      </c>
    </row>
    <row r="20" spans="2:14" x14ac:dyDescent="0.35">
      <c r="B20" s="6" t="s">
        <v>61</v>
      </c>
      <c r="C20" s="26">
        <f t="array" ref="C20">'Carbon_Emission&amp;Exposure'!G17*_xlfn.XLOOKUP(NPV_Output!C$8,_xlfn.ANCHORARRAY( ControlPanel!$B$10),_xlfn.ANCHORARRAY( ControlPanel!$C$10))*Assumptions!$O$12</f>
        <v>6906780.2114540879</v>
      </c>
      <c r="D20" s="26">
        <f t="array" ref="D20">'Carbon_Emission&amp;Exposure'!H17*_xlfn.XLOOKUP(NPV_Output!D$8,_xlfn.ANCHORARRAY( ControlPanel!$B$10),_xlfn.ANCHORARRAY( ControlPanel!$C$10))*Assumptions!$O$12</f>
        <v>8609515.5750907287</v>
      </c>
      <c r="E20" s="26">
        <f t="array" ref="E20">'Carbon_Emission&amp;Exposure'!I17*_xlfn.XLOOKUP(NPV_Output!E$8,_xlfn.ANCHORARRAY( ControlPanel!$B$10),_xlfn.ANCHORARRAY( ControlPanel!$C$10))*Assumptions!$O$12</f>
        <v>9714204.6603834629</v>
      </c>
      <c r="F20" s="26">
        <f t="array" ref="F20">'Carbon_Emission&amp;Exposure'!J17*_xlfn.XLOOKUP(NPV_Output!F$8,_xlfn.ANCHORARRAY( ControlPanel!$B$10),_xlfn.ANCHORARRAY( ControlPanel!$C$10))*Assumptions!$O$12</f>
        <v>10799875.267803745</v>
      </c>
      <c r="G20" s="26">
        <f t="array" ref="G20">'Carbon_Emission&amp;Exposure'!K17*_xlfn.XLOOKUP(NPV_Output!G$8,_xlfn.ANCHORARRAY( ControlPanel!$B$10),_xlfn.ANCHORARRAY( ControlPanel!$C$10))*Assumptions!$O$12</f>
        <v>11887551.252927603</v>
      </c>
      <c r="H20" s="26">
        <f t="array" ref="H20">'Carbon_Emission&amp;Exposure'!L17*_xlfn.XLOOKUP(NPV_Output!H$8,_xlfn.ANCHORARRAY( ControlPanel!$B$10),_xlfn.ANCHORARRAY( ControlPanel!$C$10))*Assumptions!$O$12</f>
        <v>13022027.184314312</v>
      </c>
      <c r="I20" s="26">
        <f t="array" ref="I20">'Carbon_Emission&amp;Exposure'!M17*_xlfn.XLOOKUP(NPV_Output!I$8,_xlfn.ANCHORARRAY( ControlPanel!$B$10),_xlfn.ANCHORARRAY( ControlPanel!$C$10))*Assumptions!$O$12</f>
        <v>14214917.564282311</v>
      </c>
      <c r="J20" s="26">
        <f t="array" ref="J20">'Carbon_Emission&amp;Exposure'!N17*_xlfn.XLOOKUP(NPV_Output!J$8,_xlfn.ANCHORARRAY( ControlPanel!$B$10),_xlfn.ANCHORARRAY( ControlPanel!$C$10))*Assumptions!$O$12</f>
        <v>15465630.633625582</v>
      </c>
      <c r="K20" s="26">
        <f t="array" ref="K20">'Carbon_Emission&amp;Exposure'!O17*_xlfn.XLOOKUP(NPV_Output!K$8,_xlfn.ANCHORARRAY( ControlPanel!$B$10),_xlfn.ANCHORARRAY( ControlPanel!$C$10))*Assumptions!$O$12</f>
        <v>16788015.750858571</v>
      </c>
      <c r="L20" s="26">
        <f t="array" ref="L20">'Carbon_Emission&amp;Exposure'!P17*_xlfn.XLOOKUP(NPV_Output!L$8,_xlfn.ANCHORARRAY( ControlPanel!$B$10),_xlfn.ANCHORARRAY( ControlPanel!$C$10))*Assumptions!$O$12</f>
        <v>18187285.048449565</v>
      </c>
      <c r="N20" s="26">
        <f>SUMPRODUCT(C20:L20,DCF!R17:AA17)</f>
        <v>92278235.286720306</v>
      </c>
    </row>
    <row r="21" spans="2:14" x14ac:dyDescent="0.35">
      <c r="B21" s="6" t="s">
        <v>32</v>
      </c>
      <c r="C21" s="26">
        <f t="array" ref="C21">'Carbon_Emission&amp;Exposure'!G18*_xlfn.XLOOKUP(NPV_Output!C$8,_xlfn.ANCHORARRAY( ControlPanel!$B$10),_xlfn.ANCHORARRAY( ControlPanel!$C$10))*Assumptions!$O$12</f>
        <v>9014196.7337191813</v>
      </c>
      <c r="D21" s="26">
        <f t="array" ref="D21">'Carbon_Emission&amp;Exposure'!H18*_xlfn.XLOOKUP(NPV_Output!D$8,_xlfn.ANCHORARRAY( ControlPanel!$B$10),_xlfn.ANCHORARRAY( ControlPanel!$C$10))*Assumptions!$O$12</f>
        <v>11236475.579052545</v>
      </c>
      <c r="E21" s="26">
        <f t="array" ref="E21">'Carbon_Emission&amp;Exposure'!I18*_xlfn.XLOOKUP(NPV_Output!E$8,_xlfn.ANCHORARRAY( ControlPanel!$B$10),_xlfn.ANCHORARRAY( ControlPanel!$C$10))*Assumptions!$O$12</f>
        <v>12678230.555981884</v>
      </c>
      <c r="F21" s="26">
        <f t="array" ref="F21">'Carbon_Emission&amp;Exposure'!J18*_xlfn.XLOOKUP(NPV_Output!F$8,_xlfn.ANCHORARRAY( ControlPanel!$B$10),_xlfn.ANCHORARRAY( ControlPanel!$C$10))*Assumptions!$O$12</f>
        <v>14095164.082702938</v>
      </c>
      <c r="G21" s="26">
        <f t="array" ref="G21">'Carbon_Emission&amp;Exposure'!K18*_xlfn.XLOOKUP(NPV_Output!G$8,_xlfn.ANCHORARRAY( ControlPanel!$B$10),_xlfn.ANCHORARRAY( ControlPanel!$C$10))*Assumptions!$O$12</f>
        <v>15514714.873705177</v>
      </c>
      <c r="H21" s="26">
        <f t="array" ref="H21">'Carbon_Emission&amp;Exposure'!L18*_xlfn.XLOOKUP(NPV_Output!H$8,_xlfn.ANCHORARRAY( ControlPanel!$B$10),_xlfn.ANCHORARRAY( ControlPanel!$C$10))*Assumptions!$O$12</f>
        <v>16995345.344359189</v>
      </c>
      <c r="I21" s="26">
        <f t="array" ref="I21">'Carbon_Emission&amp;Exposure'!M18*_xlfn.XLOOKUP(NPV_Output!I$8,_xlfn.ANCHORARRAY( ControlPanel!$B$10),_xlfn.ANCHORARRAY( ControlPanel!$C$10))*Assumptions!$O$12</f>
        <v>18552213.84713275</v>
      </c>
      <c r="J21" s="26">
        <f t="array" ref="J21">'Carbon_Emission&amp;Exposure'!N18*_xlfn.XLOOKUP(NPV_Output!J$8,_xlfn.ANCHORARRAY( ControlPanel!$B$10),_xlfn.ANCHORARRAY( ControlPanel!$C$10))*Assumptions!$O$12</f>
        <v>20184548.063559253</v>
      </c>
      <c r="K21" s="26">
        <f t="array" ref="K21">'Carbon_Emission&amp;Exposure'!O18*_xlfn.XLOOKUP(NPV_Output!K$8,_xlfn.ANCHORARRAY( ControlPanel!$B$10),_xlfn.ANCHORARRAY( ControlPanel!$C$10))*Assumptions!$O$12</f>
        <v>21910423.108013708</v>
      </c>
      <c r="L21" s="26">
        <f t="array" ref="L21">'Carbon_Emission&amp;Exposure'!P18*_xlfn.XLOOKUP(NPV_Output!L$8,_xlfn.ANCHORARRAY( ControlPanel!$B$10),_xlfn.ANCHORARRAY( ControlPanel!$C$10))*Assumptions!$O$12</f>
        <v>23736641.453722838</v>
      </c>
      <c r="N21" s="26">
        <f>SUMPRODUCT(C21:L21,DCF!R18:AA18)</f>
        <v>124230271.15393028</v>
      </c>
    </row>
    <row r="22" spans="2:14" x14ac:dyDescent="0.35">
      <c r="B22" s="6"/>
      <c r="C22" s="26"/>
      <c r="D22" s="26"/>
      <c r="E22" s="26"/>
      <c r="F22" s="26"/>
      <c r="G22" s="26"/>
      <c r="H22" s="26"/>
      <c r="I22" s="26"/>
      <c r="J22" s="26"/>
      <c r="K22" s="26"/>
      <c r="L22" s="26"/>
      <c r="N22" s="26"/>
    </row>
    <row r="23" spans="2:14" x14ac:dyDescent="0.35">
      <c r="C23" s="26"/>
      <c r="D23" s="26"/>
      <c r="E23" s="26"/>
      <c r="F23" s="26"/>
      <c r="G23" s="26"/>
      <c r="H23" s="26"/>
      <c r="I23" s="26"/>
      <c r="J23" s="26"/>
      <c r="K23" s="26"/>
      <c r="L23" s="26"/>
      <c r="N23" s="26"/>
    </row>
    <row r="24" spans="2:14" ht="18.5" customHeight="1" x14ac:dyDescent="0.45">
      <c r="B24" s="24" t="s">
        <v>62</v>
      </c>
      <c r="C24" s="26"/>
      <c r="D24" s="26"/>
      <c r="E24" s="26"/>
      <c r="F24" s="26"/>
      <c r="G24" s="26"/>
      <c r="H24" s="26"/>
      <c r="I24" s="26"/>
      <c r="J24" s="26"/>
      <c r="K24" s="26"/>
      <c r="L24" s="26"/>
      <c r="N24" s="26"/>
    </row>
    <row r="25" spans="2:14" ht="5" customHeight="1" x14ac:dyDescent="0.35">
      <c r="C25" s="26"/>
      <c r="D25" s="26"/>
      <c r="E25" s="26"/>
      <c r="F25" s="26"/>
      <c r="G25" s="26"/>
      <c r="H25" s="26"/>
      <c r="I25" s="26"/>
      <c r="J25" s="26"/>
      <c r="K25" s="26"/>
      <c r="L25" s="26"/>
      <c r="N25" s="26"/>
    </row>
    <row r="26" spans="2:14" x14ac:dyDescent="0.35">
      <c r="B26" s="6"/>
      <c r="C26" s="26"/>
      <c r="D26" s="26"/>
      <c r="E26" s="26"/>
      <c r="F26" s="26"/>
      <c r="G26" s="26"/>
      <c r="H26" s="26"/>
      <c r="I26" s="26"/>
      <c r="J26" s="26"/>
      <c r="K26" s="26"/>
      <c r="L26" s="26"/>
      <c r="N26" s="26"/>
    </row>
    <row r="27" spans="2:14" x14ac:dyDescent="0.35">
      <c r="B27" s="6" t="s">
        <v>63</v>
      </c>
      <c r="C27" s="26">
        <f t="array" ref="C27">'Carbon_Emission&amp;Exposure'!G24*_xlfn.XLOOKUP(NPV_Output!C$8,_xlfn.ANCHORARRAY( ControlPanel!$B$10),_xlfn.ANCHORARRAY( ControlPanel!$C$10))*Assumptions!$O$18</f>
        <v>271374.43785712594</v>
      </c>
      <c r="D27" s="26">
        <f t="array" ref="D27">'Carbon_Emission&amp;Exposure'!H24*_xlfn.XLOOKUP(NPV_Output!D$8,_xlfn.ANCHORARRAY( ControlPanel!$B$10),_xlfn.ANCHORARRAY( ControlPanel!$C$10))*Assumptions!$O$18</f>
        <v>335068.16514419229</v>
      </c>
      <c r="E27" s="26">
        <f t="array" ref="E27">'Carbon_Emission&amp;Exposure'!I24*_xlfn.XLOOKUP(NPV_Output!E$8,_xlfn.ANCHORARRAY( ControlPanel!$B$10),_xlfn.ANCHORARRAY( ControlPanel!$C$10))*Assumptions!$O$18</f>
        <v>374475.0186180076</v>
      </c>
      <c r="F27" s="26">
        <f t="array" ref="F27">'Carbon_Emission&amp;Exposure'!J24*_xlfn.XLOOKUP(NPV_Output!F$8,_xlfn.ANCHORARRAY( ControlPanel!$B$10),_xlfn.ANCHORARRAY( ControlPanel!$C$10))*Assumptions!$O$18</f>
        <v>412378.00408480689</v>
      </c>
      <c r="G27" s="26">
        <f t="array" ref="G27">'Carbon_Emission&amp;Exposure'!K24*_xlfn.XLOOKUP(NPV_Output!G$8,_xlfn.ANCHORARRAY( ControlPanel!$B$10),_xlfn.ANCHORARRAY( ControlPanel!$C$10))*Assumptions!$O$18</f>
        <v>449604.14418771764</v>
      </c>
      <c r="H27" s="26">
        <f t="array" ref="H27">'Carbon_Emission&amp;Exposure'!L24*_xlfn.XLOOKUP(NPV_Output!H$8,_xlfn.ANCHORARRAY( ControlPanel!$B$10),_xlfn.ANCHORARRAY( ControlPanel!$C$10))*Assumptions!$O$18</f>
        <v>487840.2746151911</v>
      </c>
      <c r="I27" s="26">
        <f t="array" ref="I27">'Carbon_Emission&amp;Exposure'!M24*_xlfn.XLOOKUP(NPV_Output!I$8,_xlfn.ANCHORARRAY( ControlPanel!$B$10),_xlfn.ANCHORARRAY( ControlPanel!$C$10))*Assumptions!$O$18</f>
        <v>527478.24181872525</v>
      </c>
      <c r="J27" s="26">
        <f t="array" ref="J27">'Carbon_Emission&amp;Exposure'!N24*_xlfn.XLOOKUP(NPV_Output!J$8,_xlfn.ANCHORARRAY( ControlPanel!$B$10),_xlfn.ANCHORARRAY( ControlPanel!$C$10))*Assumptions!$O$18</f>
        <v>568445.70414647122</v>
      </c>
      <c r="K27" s="26">
        <f t="array" ref="K27">'Carbon_Emission&amp;Exposure'!O24*_xlfn.XLOOKUP(NPV_Output!K$8,_xlfn.ANCHORARRAY( ControlPanel!$B$10),_xlfn.ANCHORARRAY( ControlPanel!$C$10))*Assumptions!$O$18</f>
        <v>611197.9286030737</v>
      </c>
      <c r="L27" s="26">
        <f t="array" ref="L27">'Carbon_Emission&amp;Exposure'!P24*_xlfn.XLOOKUP(NPV_Output!L$8,_xlfn.ANCHORARRAY( ControlPanel!$B$10),_xlfn.ANCHORARRAY( ControlPanel!$C$10))*Assumptions!$O$18</f>
        <v>655860.58166800847</v>
      </c>
      <c r="N27" s="26">
        <f>SUMPRODUCT(C27:L27,DCF!R24:AA24)</f>
        <v>3175216.458622552</v>
      </c>
    </row>
    <row r="28" spans="2:14" x14ac:dyDescent="0.35">
      <c r="B28" s="6" t="s">
        <v>64</v>
      </c>
      <c r="C28" s="26">
        <f t="array" ref="C28">'Carbon_Emission&amp;Exposure'!G25*_xlfn.XLOOKUP(NPV_Output!C$8,_xlfn.ANCHORARRAY( ControlPanel!$B$10),_xlfn.ANCHORARRAY( ControlPanel!$C$10))*Assumptions!$O$18</f>
        <v>17205139.360141791</v>
      </c>
      <c r="D28" s="26">
        <f t="array" ref="D28">'Carbon_Emission&amp;Exposure'!H25*_xlfn.XLOOKUP(NPV_Output!D$8,_xlfn.ANCHORARRAY( ControlPanel!$B$10),_xlfn.ANCHORARRAY( ControlPanel!$C$10))*Assumptions!$O$18</f>
        <v>21243321.670141798</v>
      </c>
      <c r="E28" s="26">
        <f t="array" ref="E28">'Carbon_Emission&amp;Exposure'!I25*_xlfn.XLOOKUP(NPV_Output!E$8,_xlfn.ANCHORARRAY( ControlPanel!$B$10),_xlfn.ANCHORARRAY( ControlPanel!$C$10))*Assumptions!$O$18</f>
        <v>23741716.180381685</v>
      </c>
      <c r="F28" s="26">
        <f t="array" ref="F28">'Carbon_Emission&amp;Exposure'!J25*_xlfn.XLOOKUP(NPV_Output!F$8,_xlfn.ANCHORARRAY( ControlPanel!$B$10),_xlfn.ANCHORARRAY( ControlPanel!$C$10))*Assumptions!$O$18</f>
        <v>26144765.458976761</v>
      </c>
      <c r="G28" s="26">
        <f t="array" ref="G28">'Carbon_Emission&amp;Exposure'!K25*_xlfn.XLOOKUP(NPV_Output!G$8,_xlfn.ANCHORARRAY( ControlPanel!$B$10),_xlfn.ANCHORARRAY( ControlPanel!$C$10))*Assumptions!$O$18</f>
        <v>28504902.741501302</v>
      </c>
      <c r="H28" s="26">
        <f t="array" ref="H28">'Carbon_Emission&amp;Exposure'!L25*_xlfn.XLOOKUP(NPV_Output!H$8,_xlfn.ANCHORARRAY( ControlPanel!$B$10),_xlfn.ANCHORARRAY( ControlPanel!$C$10))*Assumptions!$O$18</f>
        <v>30929073.410603121</v>
      </c>
      <c r="I28" s="26">
        <f t="array" ref="I28">'Carbon_Emission&amp;Exposure'!M25*_xlfn.XLOOKUP(NPV_Output!I$8,_xlfn.ANCHORARRAY( ControlPanel!$B$10),_xlfn.ANCHORARRAY( ControlPanel!$C$10))*Assumptions!$O$18</f>
        <v>33442120.531307187</v>
      </c>
      <c r="J28" s="26">
        <f t="array" ref="J28">'Carbon_Emission&amp;Exposure'!N25*_xlfn.XLOOKUP(NPV_Output!J$8,_xlfn.ANCHORARRAY( ControlPanel!$B$10),_xlfn.ANCHORARRAY( ControlPanel!$C$10))*Assumptions!$O$18</f>
        <v>36039457.642886274</v>
      </c>
      <c r="K28" s="26">
        <f t="array" ref="K28">'Carbon_Emission&amp;Exposure'!O25*_xlfn.XLOOKUP(NPV_Output!K$8,_xlfn.ANCHORARRAY( ControlPanel!$B$10),_xlfn.ANCHORARRAY( ControlPanel!$C$10))*Assumptions!$O$18</f>
        <v>38749948.673434876</v>
      </c>
      <c r="L28" s="26">
        <f t="array" ref="L28">'Carbon_Emission&amp;Exposure'!P25*_xlfn.XLOOKUP(NPV_Output!L$8,_xlfn.ANCHORARRAY( ControlPanel!$B$10),_xlfn.ANCHORARRAY( ControlPanel!$C$10))*Assumptions!$O$18</f>
        <v>41581560.877751738</v>
      </c>
      <c r="N28" s="26">
        <f>SUMPRODUCT(C28:L28,DCF!R25:AA25)</f>
        <v>176972402.62289715</v>
      </c>
    </row>
    <row r="29" spans="2:14" x14ac:dyDescent="0.35">
      <c r="B29" s="6" t="s">
        <v>65</v>
      </c>
      <c r="C29" s="26">
        <f t="array" ref="C29">'Carbon_Emission&amp;Exposure'!G26*_xlfn.XLOOKUP(NPV_Output!C$8,_xlfn.ANCHORARRAY( ControlPanel!$B$10),_xlfn.ANCHORARRAY( ControlPanel!$C$10))*Assumptions!$O$18</f>
        <v>2756691.8440111983</v>
      </c>
      <c r="D29" s="26">
        <f t="array" ref="D29">'Carbon_Emission&amp;Exposure'!H26*_xlfn.XLOOKUP(NPV_Output!D$8,_xlfn.ANCHORARRAY( ControlPanel!$B$10),_xlfn.ANCHORARRAY( ControlPanel!$C$10))*Assumptions!$O$18</f>
        <v>3474252.4231683463</v>
      </c>
      <c r="E29" s="26">
        <f t="array" ref="E29">'Carbon_Emission&amp;Exposure'!I26*_xlfn.XLOOKUP(NPV_Output!E$8,_xlfn.ANCHORARRAY( ControlPanel!$B$10),_xlfn.ANCHORARRAY( ControlPanel!$C$10))*Assumptions!$O$18</f>
        <v>3963327.583538889</v>
      </c>
      <c r="F29" s="26">
        <f t="array" ref="F29">'Carbon_Emission&amp;Exposure'!J26*_xlfn.XLOOKUP(NPV_Output!F$8,_xlfn.ANCHORARRAY( ControlPanel!$B$10),_xlfn.ANCHORARRAY( ControlPanel!$C$10))*Assumptions!$O$18</f>
        <v>4454936.6048383331</v>
      </c>
      <c r="G29" s="26">
        <f t="array" ref="G29">'Carbon_Emission&amp;Exposure'!K26*_xlfn.XLOOKUP(NPV_Output!G$8,_xlfn.ANCHORARRAY( ControlPanel!$B$10),_xlfn.ANCHORARRAY( ControlPanel!$C$10))*Assumptions!$O$18</f>
        <v>4957757.2553391336</v>
      </c>
      <c r="H29" s="26">
        <f t="array" ref="H29">'Carbon_Emission&amp;Exposure'!L26*_xlfn.XLOOKUP(NPV_Output!H$8,_xlfn.ANCHORARRAY( ControlPanel!$B$10),_xlfn.ANCHORARRAY( ControlPanel!$C$10))*Assumptions!$O$18</f>
        <v>5490874.5533714155</v>
      </c>
      <c r="I29" s="26">
        <f t="array" ref="I29">'Carbon_Emission&amp;Exposure'!M26*_xlfn.XLOOKUP(NPV_Output!I$8,_xlfn.ANCHORARRAY( ControlPanel!$B$10),_xlfn.ANCHORARRAY( ControlPanel!$C$10))*Assumptions!$O$18</f>
        <v>6060065.7666746145</v>
      </c>
      <c r="J29" s="26">
        <f t="array" ref="J29">'Carbon_Emission&amp;Exposure'!N26*_xlfn.XLOOKUP(NPV_Output!J$8,_xlfn.ANCHORARRAY( ControlPanel!$B$10),_xlfn.ANCHORARRAY( ControlPanel!$C$10))*Assumptions!$O$18</f>
        <v>6666082.6402826523</v>
      </c>
      <c r="K29" s="26">
        <f t="array" ref="K29">'Carbon_Emission&amp;Exposure'!O26*_xlfn.XLOOKUP(NPV_Output!K$8,_xlfn.ANCHORARRAY( ControlPanel!$B$10),_xlfn.ANCHORARRAY( ControlPanel!$C$10))*Assumptions!$O$18</f>
        <v>7315979.7622520784</v>
      </c>
      <c r="L29" s="26">
        <f t="array" ref="L29">'Carbon_Emission&amp;Exposure'!P26*_xlfn.XLOOKUP(NPV_Output!L$8,_xlfn.ANCHORARRAY( ControlPanel!$B$10),_xlfn.ANCHORARRAY( ControlPanel!$C$10))*Assumptions!$O$18</f>
        <v>8013293.8498023376</v>
      </c>
      <c r="N29" s="26">
        <f>SUMPRODUCT(C29:L29,DCF!R26:AA26)</f>
        <v>26197003.104435746</v>
      </c>
    </row>
    <row r="30" spans="2:14" x14ac:dyDescent="0.35">
      <c r="B30" s="6" t="s">
        <v>34</v>
      </c>
      <c r="C30" s="26">
        <f t="array" ref="C30">'Carbon_Emission&amp;Exposure'!G27*_xlfn.XLOOKUP(NPV_Output!C$8,_xlfn.ANCHORARRAY( ControlPanel!$B$10),_xlfn.ANCHORARRAY( ControlPanel!$C$10))*Assumptions!$O$18</f>
        <v>892986.44626090722</v>
      </c>
      <c r="D30" s="26">
        <f t="array" ref="D30">'Carbon_Emission&amp;Exposure'!H27*_xlfn.XLOOKUP(NPV_Output!D$8,_xlfn.ANCHORARRAY( ControlPanel!$B$10),_xlfn.ANCHORARRAY( ControlPanel!$C$10))*Assumptions!$O$18</f>
        <v>1125428.7748985861</v>
      </c>
      <c r="E30" s="26">
        <f t="array" ref="E30">'Carbon_Emission&amp;Exposure'!I27*_xlfn.XLOOKUP(NPV_Output!E$8,_xlfn.ANCHORARRAY( ControlPanel!$B$10),_xlfn.ANCHORARRAY( ControlPanel!$C$10))*Assumptions!$O$18</f>
        <v>1283856.8887853699</v>
      </c>
      <c r="F30" s="26">
        <f t="array" ref="F30">'Carbon_Emission&amp;Exposure'!J27*_xlfn.XLOOKUP(NPV_Output!F$8,_xlfn.ANCHORARRAY( ControlPanel!$B$10),_xlfn.ANCHORARRAY( ControlPanel!$C$10))*Assumptions!$O$18</f>
        <v>1443105.8065901306</v>
      </c>
      <c r="G30" s="26">
        <f t="array" ref="G30">'Carbon_Emission&amp;Exposure'!K27*_xlfn.XLOOKUP(NPV_Output!G$8,_xlfn.ANCHORARRAY( ControlPanel!$B$10),_xlfn.ANCHORARRAY( ControlPanel!$C$10))*Assumptions!$O$18</f>
        <v>1605986.5532259101</v>
      </c>
      <c r="H30" s="26">
        <f t="array" ref="H30">'Carbon_Emission&amp;Exposure'!L27*_xlfn.XLOOKUP(NPV_Output!H$8,_xlfn.ANCHORARRAY( ControlPanel!$B$10),_xlfn.ANCHORARRAY( ControlPanel!$C$10))*Assumptions!$O$18</f>
        <v>1778681.4166159907</v>
      </c>
      <c r="I30" s="26">
        <f t="array" ref="I30">'Carbon_Emission&amp;Exposure'!M27*_xlfn.XLOOKUP(NPV_Output!I$8,_xlfn.ANCHORARRAY( ControlPanel!$B$10),_xlfn.ANCHORARRAY( ControlPanel!$C$10))*Assumptions!$O$18</f>
        <v>1963061.8506912671</v>
      </c>
      <c r="J30" s="26">
        <f t="array" ref="J30">'Carbon_Emission&amp;Exposure'!N27*_xlfn.XLOOKUP(NPV_Output!J$8,_xlfn.ANCHORARRAY( ControlPanel!$B$10),_xlfn.ANCHORARRAY( ControlPanel!$C$10))*Assumptions!$O$18</f>
        <v>2159371.3712904025</v>
      </c>
      <c r="K30" s="26">
        <f t="array" ref="K30">'Carbon_Emission&amp;Exposure'!O27*_xlfn.XLOOKUP(NPV_Output!K$8,_xlfn.ANCHORARRAY( ControlPanel!$B$10),_xlfn.ANCHORARRAY( ControlPanel!$C$10))*Assumptions!$O$18</f>
        <v>2369895.1999306823</v>
      </c>
      <c r="L30" s="26">
        <f t="array" ref="L30">'Carbon_Emission&amp;Exposure'!P27*_xlfn.XLOOKUP(NPV_Output!L$8,_xlfn.ANCHORARRAY( ControlPanel!$B$10),_xlfn.ANCHORARRAY( ControlPanel!$C$10))*Assumptions!$O$18</f>
        <v>2595778.9998635426</v>
      </c>
      <c r="N30" s="26">
        <f>SUMPRODUCT(C30:L30,DCF!R27:AA27)</f>
        <v>12324413.276633972</v>
      </c>
    </row>
    <row r="31" spans="2:14" x14ac:dyDescent="0.35">
      <c r="B31" s="6" t="s">
        <v>36</v>
      </c>
      <c r="C31" s="26">
        <f t="array" ref="C31">'Carbon_Emission&amp;Exposure'!G28*_xlfn.XLOOKUP(NPV_Output!C$8,_xlfn.ANCHORARRAY( ControlPanel!$B$10),_xlfn.ANCHORARRAY( ControlPanel!$C$10))*Assumptions!$O$18</f>
        <v>3745023.4858351485</v>
      </c>
      <c r="D31" s="26">
        <f t="array" ref="D31">'Carbon_Emission&amp;Exposure'!H28*_xlfn.XLOOKUP(NPV_Output!D$8,_xlfn.ANCHORARRAY( ControlPanel!$B$10),_xlfn.ANCHORARRAY( ControlPanel!$C$10))*Assumptions!$O$18</f>
        <v>4719844.5298669655</v>
      </c>
      <c r="E31" s="26">
        <f t="array" ref="E31">'Carbon_Emission&amp;Exposure'!I28*_xlfn.XLOOKUP(NPV_Output!E$8,_xlfn.ANCHORARRAY( ControlPanel!$B$10),_xlfn.ANCHORARRAY( ControlPanel!$C$10))*Assumptions!$O$18</f>
        <v>5384263.357058459</v>
      </c>
      <c r="F31" s="26">
        <f t="array" ref="F31">'Carbon_Emission&amp;Exposure'!J28*_xlfn.XLOOKUP(NPV_Output!F$8,_xlfn.ANCHORARRAY( ControlPanel!$B$10),_xlfn.ANCHORARRAY( ControlPanel!$C$10))*Assumptions!$O$18</f>
        <v>6052124.4872803725</v>
      </c>
      <c r="G31" s="26">
        <f t="array" ref="G31">'Carbon_Emission&amp;Exposure'!K28*_xlfn.XLOOKUP(NPV_Output!G$8,_xlfn.ANCHORARRAY( ControlPanel!$B$10),_xlfn.ANCHORARRAY( ControlPanel!$C$10))*Assumptions!$O$18</f>
        <v>6735216.8500989852</v>
      </c>
      <c r="H31" s="26">
        <f t="array" ref="H31">'Carbon_Emission&amp;Exposure'!L28*_xlfn.XLOOKUP(NPV_Output!H$8,_xlfn.ANCHORARRAY( ControlPanel!$B$10),_xlfn.ANCHORARRAY( ControlPanel!$C$10))*Assumptions!$O$18</f>
        <v>7459467.8417987861</v>
      </c>
      <c r="I31" s="26">
        <f t="array" ref="I31">'Carbon_Emission&amp;Exposure'!M28*_xlfn.XLOOKUP(NPV_Output!I$8,_xlfn.ANCHORARRAY( ControlPanel!$B$10),_xlfn.ANCHORARRAY( ControlPanel!$C$10))*Assumptions!$O$18</f>
        <v>8232726.0013505621</v>
      </c>
      <c r="J31" s="26">
        <f t="array" ref="J31">'Carbon_Emission&amp;Exposure'!N28*_xlfn.XLOOKUP(NPV_Output!J$8,_xlfn.ANCHORARRAY( ControlPanel!$B$10),_xlfn.ANCHORARRAY( ControlPanel!$C$10))*Assumptions!$O$18</f>
        <v>9056012.5900945999</v>
      </c>
      <c r="K31" s="26">
        <f t="array" ref="K31">'Carbon_Emission&amp;Exposure'!O28*_xlfn.XLOOKUP(NPV_Output!K$8,_xlfn.ANCHORARRAY( ControlPanel!$B$10),_xlfn.ANCHORARRAY( ControlPanel!$C$10))*Assumptions!$O$18</f>
        <v>9938911.4133488853</v>
      </c>
      <c r="L31" s="26">
        <f t="array" ref="L31">'Carbon_Emission&amp;Exposure'!P28*_xlfn.XLOOKUP(NPV_Output!L$8,_xlfn.ANCHORARRAY( ControlPanel!$B$10),_xlfn.ANCHORARRAY( ControlPanel!$C$10))*Assumptions!$O$18</f>
        <v>10886227.175374558</v>
      </c>
      <c r="N31" s="26">
        <f>SUMPRODUCT(C31:L31,DCF!R28:AA28)</f>
        <v>47031214.018936738</v>
      </c>
    </row>
    <row r="32" spans="2:14" x14ac:dyDescent="0.35">
      <c r="B32" s="6" t="s">
        <v>35</v>
      </c>
      <c r="C32" s="26">
        <f t="array" ref="C32">'Carbon_Emission&amp;Exposure'!G29*_xlfn.XLOOKUP(NPV_Output!C$8,_xlfn.ANCHORARRAY( ControlPanel!$B$10),_xlfn.ANCHORARRAY( ControlPanel!$C$10))*Assumptions!$O$18</f>
        <v>1959887.0002646833</v>
      </c>
      <c r="D32" s="26">
        <f t="array" ref="D32">'Carbon_Emission&amp;Exposure'!H29*_xlfn.XLOOKUP(NPV_Output!D$8,_xlfn.ANCHORARRAY( ControlPanel!$B$10),_xlfn.ANCHORARRAY( ControlPanel!$C$10))*Assumptions!$O$18</f>
        <v>2507655.9409509846</v>
      </c>
      <c r="E32" s="26">
        <f t="array" ref="E32">'Carbon_Emission&amp;Exposure'!I29*_xlfn.XLOOKUP(NPV_Output!E$8,_xlfn.ANCHORARRAY( ControlPanel!$B$10),_xlfn.ANCHORARRAY( ControlPanel!$C$10))*Assumptions!$O$18</f>
        <v>2904225.4027526067</v>
      </c>
      <c r="F32" s="26">
        <f t="array" ref="F32">'Carbon_Emission&amp;Exposure'!J29*_xlfn.XLOOKUP(NPV_Output!F$8,_xlfn.ANCHORARRAY( ControlPanel!$B$10),_xlfn.ANCHORARRAY( ControlPanel!$C$10))*Assumptions!$O$18</f>
        <v>3314176.6084421938</v>
      </c>
      <c r="G32" s="26">
        <f t="array" ref="G32">'Carbon_Emission&amp;Exposure'!K29*_xlfn.XLOOKUP(NPV_Output!G$8,_xlfn.ANCHORARRAY( ControlPanel!$B$10),_xlfn.ANCHORARRAY( ControlPanel!$C$10))*Assumptions!$O$18</f>
        <v>3744407.8558081146</v>
      </c>
      <c r="H32" s="26">
        <f t="array" ref="H32">'Carbon_Emission&amp;Exposure'!L29*_xlfn.XLOOKUP(NPV_Output!H$8,_xlfn.ANCHORARRAY( ControlPanel!$B$10),_xlfn.ANCHORARRAY( ControlPanel!$C$10))*Assumptions!$O$18</f>
        <v>4210204.3945731297</v>
      </c>
      <c r="I32" s="26">
        <f t="array" ref="I32">'Carbon_Emission&amp;Exposure'!M29*_xlfn.XLOOKUP(NPV_Output!I$8,_xlfn.ANCHORARRAY( ControlPanel!$B$10),_xlfn.ANCHORARRAY( ControlPanel!$C$10))*Assumptions!$O$18</f>
        <v>4717400.6801228942</v>
      </c>
      <c r="J32" s="26">
        <f t="array" ref="J32">'Carbon_Emission&amp;Exposure'!N29*_xlfn.XLOOKUP(NPV_Output!J$8,_xlfn.ANCHORARRAY( ControlPanel!$B$10),_xlfn.ANCHORARRAY( ControlPanel!$C$10))*Assumptions!$O$18</f>
        <v>5268171.333696289</v>
      </c>
      <c r="K32" s="26">
        <f t="array" ref="K32">'Carbon_Emission&amp;Exposure'!O29*_xlfn.XLOOKUP(NPV_Output!K$8,_xlfn.ANCHORARRAY( ControlPanel!$B$10),_xlfn.ANCHORARRAY( ControlPanel!$C$10))*Assumptions!$O$18</f>
        <v>5869829.1737785479</v>
      </c>
      <c r="L32" s="26">
        <f t="array" ref="L32">'Carbon_Emission&amp;Exposure'!P29*_xlfn.XLOOKUP(NPV_Output!L$8,_xlfn.ANCHORARRAY( ControlPanel!$B$10),_xlfn.ANCHORARRAY( ControlPanel!$C$10))*Assumptions!$O$18</f>
        <v>6527213.3023629412</v>
      </c>
      <c r="N32" s="26">
        <f>SUMPRODUCT(C32:L32,DCF!R29:AA29)</f>
        <v>25708813.699947312</v>
      </c>
    </row>
    <row r="33" spans="2:14" x14ac:dyDescent="0.35">
      <c r="C33" s="26"/>
      <c r="D33" s="26"/>
      <c r="E33" s="26"/>
      <c r="F33" s="26"/>
      <c r="G33" s="26"/>
      <c r="H33" s="26"/>
      <c r="I33" s="26"/>
      <c r="J33" s="26"/>
      <c r="K33" s="26"/>
      <c r="L33" s="26"/>
      <c r="N33" s="26"/>
    </row>
    <row r="34" spans="2:14" ht="18.5" customHeight="1" x14ac:dyDescent="0.45">
      <c r="B34" s="25" t="s">
        <v>66</v>
      </c>
      <c r="C34" s="26"/>
      <c r="D34" s="26"/>
      <c r="E34" s="26"/>
      <c r="F34" s="26"/>
      <c r="G34" s="26"/>
      <c r="H34" s="26"/>
      <c r="I34" s="26"/>
      <c r="J34" s="26"/>
      <c r="K34" s="26"/>
      <c r="L34" s="26"/>
      <c r="N34" s="26"/>
    </row>
    <row r="35" spans="2:14" ht="5" customHeight="1" x14ac:dyDescent="0.35">
      <c r="C35" s="26"/>
      <c r="D35" s="26"/>
      <c r="E35" s="26"/>
      <c r="F35" s="26"/>
      <c r="G35" s="26"/>
      <c r="H35" s="26"/>
      <c r="I35" s="26"/>
      <c r="J35" s="26"/>
      <c r="K35" s="26"/>
      <c r="L35" s="26"/>
      <c r="N35" s="26"/>
    </row>
    <row r="36" spans="2:14" x14ac:dyDescent="0.35">
      <c r="B36" s="6" t="s">
        <v>37</v>
      </c>
      <c r="C36" s="26">
        <f t="array" ref="C36">'Carbon_Emission&amp;Exposure'!G33*_xlfn.XLOOKUP(NPV_Output!C$8,_xlfn.ANCHORARRAY( ControlPanel!$B$10),_xlfn.ANCHORARRAY( ControlPanel!$C$10))*Assumptions!$O$24</f>
        <v>1295394445.16225</v>
      </c>
      <c r="D36" s="26">
        <f t="array" ref="D36">'Carbon_Emission&amp;Exposure'!H33*_xlfn.XLOOKUP(NPV_Output!D$8,_xlfn.ANCHORARRAY( ControlPanel!$B$10),_xlfn.ANCHORARRAY( ControlPanel!$C$10))*Assumptions!$O$24</f>
        <v>1590486120.6249194</v>
      </c>
      <c r="E36" s="26">
        <f t="array" ref="E36">'Carbon_Emission&amp;Exposure'!I33*_xlfn.XLOOKUP(NPV_Output!E$8,_xlfn.ANCHORARRAY( ControlPanel!$B$10),_xlfn.ANCHORARRAY( ControlPanel!$C$10))*Assumptions!$O$24</f>
        <v>1767596731.2800698</v>
      </c>
      <c r="F36" s="26">
        <f t="array" ref="F36">'Carbon_Emission&amp;Exposure'!J33*_xlfn.XLOOKUP(NPV_Output!F$8,_xlfn.ANCHORARRAY( ControlPanel!$B$10),_xlfn.ANCHORARRAY( ControlPanel!$C$10))*Assumptions!$O$24</f>
        <v>1935617115.3508294</v>
      </c>
      <c r="G36" s="26">
        <f t="array" ref="G36">'Carbon_Emission&amp;Exposure'!K33*_xlfn.XLOOKUP(NPV_Output!G$8,_xlfn.ANCHORARRAY( ControlPanel!$B$10),_xlfn.ANCHORARRAY( ControlPanel!$C$10))*Assumptions!$O$24</f>
        <v>2098543082.3630118</v>
      </c>
      <c r="H36" s="26">
        <f t="array" ref="H36">'Carbon_Emission&amp;Exposure'!L33*_xlfn.XLOOKUP(NPV_Output!H$8,_xlfn.ANCHORARRAY( ControlPanel!$B$10),_xlfn.ANCHORARRAY( ControlPanel!$C$10))*Assumptions!$O$24</f>
        <v>2264273365.3415051</v>
      </c>
      <c r="I36" s="26">
        <f t="array" ref="I36">'Carbon_Emission&amp;Exposure'!M33*_xlfn.XLOOKUP(NPV_Output!I$8,_xlfn.ANCHORARRAY( ControlPanel!$B$10),_xlfn.ANCHORARRAY( ControlPanel!$C$10))*Assumptions!$O$24</f>
        <v>2434553815.4675779</v>
      </c>
      <c r="J36" s="26">
        <f t="array" ref="J36">'Carbon_Emission&amp;Exposure'!N33*_xlfn.XLOOKUP(NPV_Output!J$8,_xlfn.ANCHORARRAY( ControlPanel!$B$10),_xlfn.ANCHORARRAY( ControlPanel!$C$10))*Assumptions!$O$24</f>
        <v>2608960118.917582</v>
      </c>
      <c r="K36" s="26">
        <f t="array" ref="K36">'Carbon_Emission&amp;Exposure'!O33*_xlfn.XLOOKUP(NPV_Output!K$8,_xlfn.ANCHORARRAY( ControlPanel!$B$10),_xlfn.ANCHORARRAY( ControlPanel!$C$10))*Assumptions!$O$24</f>
        <v>2789484470.3935909</v>
      </c>
      <c r="L36" s="26">
        <f t="array" ref="L36">'Carbon_Emission&amp;Exposure'!P33*_xlfn.XLOOKUP(NPV_Output!L$8,_xlfn.ANCHORARRAY( ControlPanel!$B$10),_xlfn.ANCHORARRAY( ControlPanel!$C$10))*Assumptions!$O$24</f>
        <v>2976577719.8798757</v>
      </c>
      <c r="N36" s="26">
        <f>SUMPRODUCT(C36:L36,DCF!R33:AA33)</f>
        <v>15065046512.84848</v>
      </c>
    </row>
    <row r="37" spans="2:14" x14ac:dyDescent="0.35">
      <c r="B37" s="6" t="s">
        <v>67</v>
      </c>
      <c r="C37" s="26">
        <f t="array" ref="C37">'Carbon_Emission&amp;Exposure'!G34*_xlfn.XLOOKUP(NPV_Output!C$8,_xlfn.ANCHORARRAY( ControlPanel!$B$10),_xlfn.ANCHORARRAY( ControlPanel!$C$10))*Assumptions!$O$24</f>
        <v>154944897.03786188</v>
      </c>
      <c r="D37" s="26">
        <f t="array" ref="D37">'Carbon_Emission&amp;Exposure'!H34*_xlfn.XLOOKUP(NPV_Output!D$8,_xlfn.ANCHORARRAY( ControlPanel!$B$10),_xlfn.ANCHORARRAY( ControlPanel!$C$10))*Assumptions!$O$24</f>
        <v>190241442.76727214</v>
      </c>
      <c r="E37" s="26">
        <f t="array" ref="E37">'Carbon_Emission&amp;Exposure'!I34*_xlfn.XLOOKUP(NPV_Output!E$8,_xlfn.ANCHORARRAY( ControlPanel!$B$10),_xlfn.ANCHORARRAY( ControlPanel!$C$10))*Assumptions!$O$24</f>
        <v>211426021.28292108</v>
      </c>
      <c r="F37" s="26">
        <f t="array" ref="F37">'Carbon_Emission&amp;Exposure'!J34*_xlfn.XLOOKUP(NPV_Output!F$8,_xlfn.ANCHORARRAY( ControlPanel!$B$10),_xlfn.ANCHORARRAY( ControlPanel!$C$10))*Assumptions!$O$24</f>
        <v>231523298.37665221</v>
      </c>
      <c r="G37" s="26">
        <f t="array" ref="G37">'Carbon_Emission&amp;Exposure'!K34*_xlfn.XLOOKUP(NPV_Output!G$8,_xlfn.ANCHORARRAY( ControlPanel!$B$10),_xlfn.ANCHORARRAY( ControlPanel!$C$10))*Assumptions!$O$24</f>
        <v>251011221.36240718</v>
      </c>
      <c r="H37" s="26">
        <f t="array" ref="H37">'Carbon_Emission&amp;Exposure'!L34*_xlfn.XLOOKUP(NPV_Output!H$8,_xlfn.ANCHORARRAY( ControlPanel!$B$10),_xlfn.ANCHORARRAY( ControlPanel!$C$10))*Assumptions!$O$24</f>
        <v>270834574.57197106</v>
      </c>
      <c r="I37" s="26">
        <f t="array" ref="I37">'Carbon_Emission&amp;Exposure'!M34*_xlfn.XLOOKUP(NPV_Output!I$8,_xlfn.ANCHORARRAY( ControlPanel!$B$10),_xlfn.ANCHORARRAY( ControlPanel!$C$10))*Assumptions!$O$24</f>
        <v>291202182.99493325</v>
      </c>
      <c r="J37" s="26">
        <f t="array" ref="J37">'Carbon_Emission&amp;Exposure'!N34*_xlfn.XLOOKUP(NPV_Output!J$8,_xlfn.ANCHORARRAY( ControlPanel!$B$10),_xlfn.ANCHORARRAY( ControlPanel!$C$10))*Assumptions!$O$24</f>
        <v>312063293.5483526</v>
      </c>
      <c r="K37" s="26">
        <f t="array" ref="K37">'Carbon_Emission&amp;Exposure'!O34*_xlfn.XLOOKUP(NPV_Output!K$8,_xlfn.ANCHORARRAY( ControlPanel!$B$10),_xlfn.ANCHORARRAY( ControlPanel!$C$10))*Assumptions!$O$24</f>
        <v>333656196.89662468</v>
      </c>
      <c r="L37" s="26">
        <f t="array" ref="L37">'Carbon_Emission&amp;Exposure'!P34*_xlfn.XLOOKUP(NPV_Output!L$8,_xlfn.ANCHORARRAY( ControlPanel!$B$10),_xlfn.ANCHORARRAY( ControlPanel!$C$10))*Assumptions!$O$24</f>
        <v>356034820.16955405</v>
      </c>
      <c r="N37" s="26">
        <f>SUMPRODUCT(C37:L37,DCF!R34:AA34)</f>
        <v>1750539679.6985133</v>
      </c>
    </row>
    <row r="38" spans="2:14" x14ac:dyDescent="0.35">
      <c r="B38" s="6" t="s">
        <v>40</v>
      </c>
      <c r="C38" s="26">
        <f t="array" ref="C38">'Carbon_Emission&amp;Exposure'!G35*_xlfn.XLOOKUP(NPV_Output!C$8,_xlfn.ANCHORARRAY( ControlPanel!$B$10),_xlfn.ANCHORARRAY( ControlPanel!$C$10))*Assumptions!$O$24</f>
        <v>1231169840.7650959</v>
      </c>
      <c r="D38" s="26">
        <f t="array" ref="D38">'Carbon_Emission&amp;Exposure'!H35*_xlfn.XLOOKUP(NPV_Output!D$8,_xlfn.ANCHORARRAY( ControlPanel!$B$10),_xlfn.ANCHORARRAY( ControlPanel!$C$10))*Assumptions!$O$24</f>
        <v>1542960252.8383961</v>
      </c>
      <c r="E38" s="26">
        <f t="array" ref="E38">'Carbon_Emission&amp;Exposure'!I35*_xlfn.XLOOKUP(NPV_Output!E$8,_xlfn.ANCHORARRAY( ControlPanel!$B$10),_xlfn.ANCHORARRAY( ControlPanel!$C$10))*Assumptions!$O$24</f>
        <v>1750318011.8840501</v>
      </c>
      <c r="F38" s="26">
        <f t="array" ref="F38">'Carbon_Emission&amp;Exposure'!J35*_xlfn.XLOOKUP(NPV_Output!F$8,_xlfn.ANCHORARRAY( ControlPanel!$B$10),_xlfn.ANCHORARRAY( ControlPanel!$C$10))*Assumptions!$O$24</f>
        <v>1956420221.2995033</v>
      </c>
      <c r="G38" s="26">
        <f t="array" ref="G38">'Carbon_Emission&amp;Exposure'!K35*_xlfn.XLOOKUP(NPV_Output!G$8,_xlfn.ANCHORARRAY( ControlPanel!$B$10),_xlfn.ANCHORARRAY( ControlPanel!$C$10))*Assumptions!$O$24</f>
        <v>2165057804.8421235</v>
      </c>
      <c r="H38" s="26">
        <f t="array" ref="H38">'Carbon_Emission&amp;Exposure'!L35*_xlfn.XLOOKUP(NPV_Output!H$8,_xlfn.ANCHORARRAY( ControlPanel!$B$10),_xlfn.ANCHORARRAY( ControlPanel!$C$10))*Assumptions!$O$24</f>
        <v>2384456377.5828643</v>
      </c>
      <c r="I38" s="26">
        <f t="array" ref="I38">'Carbon_Emission&amp;Exposure'!M35*_xlfn.XLOOKUP(NPV_Output!I$8,_xlfn.ANCHORARRAY( ControlPanel!$B$10),_xlfn.ANCHORARRAY( ControlPanel!$C$10))*Assumptions!$O$24</f>
        <v>2616910199.1850033</v>
      </c>
      <c r="J38" s="26">
        <f t="array" ref="J38">'Carbon_Emission&amp;Exposure'!N35*_xlfn.XLOOKUP(NPV_Output!J$8,_xlfn.ANCHORARRAY( ControlPanel!$B$10),_xlfn.ANCHORARRAY( ControlPanel!$C$10))*Assumptions!$O$24</f>
        <v>2862501997.538785</v>
      </c>
      <c r="K38" s="26">
        <f t="array" ref="K38">'Carbon_Emission&amp;Exposure'!O35*_xlfn.XLOOKUP(NPV_Output!K$8,_xlfn.ANCHORARRAY( ControlPanel!$B$10),_xlfn.ANCHORARRAY( ControlPanel!$C$10))*Assumptions!$O$24</f>
        <v>3124001423.3451352</v>
      </c>
      <c r="L38" s="26">
        <f t="array" ref="L38">'Carbon_Emission&amp;Exposure'!P35*_xlfn.XLOOKUP(NPV_Output!L$8,_xlfn.ANCHORARRAY( ControlPanel!$B$10),_xlfn.ANCHORARRAY( ControlPanel!$C$10))*Assumptions!$O$24</f>
        <v>3402619753.7570319</v>
      </c>
      <c r="N38" s="26">
        <f>SUMPRODUCT(C38:L38,DCF!R35:AA35)</f>
        <v>16426423809.520172</v>
      </c>
    </row>
    <row r="39" spans="2:14" x14ac:dyDescent="0.35">
      <c r="B39" s="6" t="s">
        <v>39</v>
      </c>
      <c r="C39" s="26">
        <f t="array" ref="C39">'Carbon_Emission&amp;Exposure'!G36*_xlfn.XLOOKUP(NPV_Output!C$8,_xlfn.ANCHORARRAY( ControlPanel!$B$10),_xlfn.ANCHORARRAY( ControlPanel!$C$10))*Assumptions!$O$24</f>
        <v>2993036115.1421266</v>
      </c>
      <c r="D39" s="26">
        <f t="array" ref="D39">'Carbon_Emission&amp;Exposure'!H36*_xlfn.XLOOKUP(NPV_Output!D$8,_xlfn.ANCHORARRAY( ControlPanel!$B$10),_xlfn.ANCHORARRAY( ControlPanel!$C$10))*Assumptions!$O$24</f>
        <v>3808136413.2368655</v>
      </c>
      <c r="E39" s="26">
        <f t="array" ref="E39">'Carbon_Emission&amp;Exposure'!I36*_xlfn.XLOOKUP(NPV_Output!E$8,_xlfn.ANCHORARRAY( ControlPanel!$B$10),_xlfn.ANCHORARRAY( ControlPanel!$C$10))*Assumptions!$O$24</f>
        <v>4385695648.577919</v>
      </c>
      <c r="F39" s="26">
        <f t="array" ref="F39">'Carbon_Emission&amp;Exposure'!J36*_xlfn.XLOOKUP(NPV_Output!F$8,_xlfn.ANCHORARRAY( ControlPanel!$B$10),_xlfn.ANCHORARRAY( ControlPanel!$C$10))*Assumptions!$O$24</f>
        <v>4976768510.4484701</v>
      </c>
      <c r="G39" s="26">
        <f t="array" ref="G39">'Carbon_Emission&amp;Exposure'!K36*_xlfn.XLOOKUP(NPV_Output!G$8,_xlfn.ANCHORARRAY( ControlPanel!$B$10),_xlfn.ANCHORARRAY( ControlPanel!$C$10))*Assumptions!$O$24</f>
        <v>5591374262.2459869</v>
      </c>
      <c r="H39" s="26">
        <f t="array" ref="H39">'Carbon_Emission&amp;Exposure'!L36*_xlfn.XLOOKUP(NPV_Output!H$8,_xlfn.ANCHORARRAY( ControlPanel!$B$10),_xlfn.ANCHORARRAY( ControlPanel!$C$10))*Assumptions!$O$24</f>
        <v>6251758857.6266975</v>
      </c>
      <c r="I39" s="26">
        <f t="array" ref="I39">'Carbon_Emission&amp;Exposure'!M36*_xlfn.XLOOKUP(NPV_Output!I$8,_xlfn.ANCHORARRAY( ControlPanel!$B$10),_xlfn.ANCHORARRAY( ControlPanel!$C$10))*Assumptions!$O$24</f>
        <v>6965710578.1880207</v>
      </c>
      <c r="J39" s="26">
        <f t="array" ref="J39">'Carbon_Emission&amp;Exposure'!N36*_xlfn.XLOOKUP(NPV_Output!J$8,_xlfn.ANCHORARRAY( ControlPanel!$B$10),_xlfn.ANCHORARRAY( ControlPanel!$C$10))*Assumptions!$O$24</f>
        <v>7735460518.8796167</v>
      </c>
      <c r="K39" s="26">
        <f t="array" ref="K39">'Carbon_Emission&amp;Exposure'!O36*_xlfn.XLOOKUP(NPV_Output!K$8,_xlfn.ANCHORARRAY( ControlPanel!$B$10),_xlfn.ANCHORARRAY( ControlPanel!$C$10))*Assumptions!$O$24</f>
        <v>8570681730.8518229</v>
      </c>
      <c r="L39" s="26">
        <f t="array" ref="L39">'Carbon_Emission&amp;Exposure'!P36*_xlfn.XLOOKUP(NPV_Output!L$8,_xlfn.ANCHORARRAY( ControlPanel!$B$10),_xlfn.ANCHORARRAY( ControlPanel!$C$10))*Assumptions!$O$24</f>
        <v>9477228099.3178444</v>
      </c>
      <c r="N39" s="26">
        <f>SUMPRODUCT(C39:L39,DCF!R36:AA36)</f>
        <v>47214223976.350639</v>
      </c>
    </row>
    <row r="40" spans="2:14" x14ac:dyDescent="0.35">
      <c r="B40" s="6" t="s">
        <v>68</v>
      </c>
      <c r="C40" s="26">
        <f t="array" ref="C40">'Carbon_Emission&amp;Exposure'!G37*_xlfn.XLOOKUP(NPV_Output!C$8,_xlfn.ANCHORARRAY( ControlPanel!$B$10),_xlfn.ANCHORARRAY( ControlPanel!$C$10))*Assumptions!$O$24</f>
        <v>1714442595.0486434</v>
      </c>
      <c r="D40" s="26">
        <f t="array" ref="D40">'Carbon_Emission&amp;Exposure'!H37*_xlfn.XLOOKUP(NPV_Output!D$8,_xlfn.ANCHORARRAY( ControlPanel!$B$10),_xlfn.ANCHORARRAY( ControlPanel!$C$10))*Assumptions!$O$24</f>
        <v>2104993704.5943568</v>
      </c>
      <c r="E40" s="26">
        <f t="array" ref="E40">'Carbon_Emission&amp;Exposure'!I37*_xlfn.XLOOKUP(NPV_Output!E$8,_xlfn.ANCHORARRAY( ControlPanel!$B$10),_xlfn.ANCHORARRAY( ControlPanel!$C$10))*Assumptions!$O$24</f>
        <v>2339397963.525878</v>
      </c>
      <c r="F40" s="26">
        <f t="array" ref="F40">'Carbon_Emission&amp;Exposure'!J37*_xlfn.XLOOKUP(NPV_Output!F$8,_xlfn.ANCHORARRAY( ControlPanel!$B$10),_xlfn.ANCHORARRAY( ControlPanel!$C$10))*Assumptions!$O$24</f>
        <v>2561771391.4521203</v>
      </c>
      <c r="G40" s="26">
        <f t="array" ref="G40">'Carbon_Emission&amp;Exposure'!K37*_xlfn.XLOOKUP(NPV_Output!G$8,_xlfn.ANCHORARRAY( ControlPanel!$B$10),_xlfn.ANCHORARRAY( ControlPanel!$C$10))*Assumptions!$O$24</f>
        <v>2777402405.409564</v>
      </c>
      <c r="H40" s="26">
        <f t="array" ref="H40">'Carbon_Emission&amp;Exposure'!L37*_xlfn.XLOOKUP(NPV_Output!H$8,_xlfn.ANCHORARRAY( ControlPanel!$B$10),_xlfn.ANCHORARRAY( ControlPanel!$C$10))*Assumptions!$O$24</f>
        <v>2996744905.6718726</v>
      </c>
      <c r="I40" s="26">
        <f t="array" ref="I40">'Carbon_Emission&amp;Exposure'!M37*_xlfn.XLOOKUP(NPV_Output!I$8,_xlfn.ANCHORARRAY( ControlPanel!$B$10),_xlfn.ANCHORARRAY( ControlPanel!$C$10))*Assumptions!$O$24</f>
        <v>3222109510.1677866</v>
      </c>
      <c r="J40" s="26">
        <f t="array" ref="J40">'Carbon_Emission&amp;Exposure'!N37*_xlfn.XLOOKUP(NPV_Output!J$8,_xlfn.ANCHORARRAY( ControlPanel!$B$10),_xlfn.ANCHORARRAY( ControlPanel!$C$10))*Assumptions!$O$24</f>
        <v>3452934643.4670234</v>
      </c>
      <c r="K40" s="26">
        <f t="array" ref="K40">'Carbon_Emission&amp;Exposure'!O37*_xlfn.XLOOKUP(NPV_Output!K$8,_xlfn.ANCHORARRAY( ControlPanel!$B$10),_xlfn.ANCHORARRAY( ControlPanel!$C$10))*Assumptions!$O$24</f>
        <v>3691856956.8749962</v>
      </c>
      <c r="L40" s="26">
        <f t="array" ref="L40">'Carbon_Emission&amp;Exposure'!P37*_xlfn.XLOOKUP(NPV_Output!L$8,_xlfn.ANCHORARRAY( ControlPanel!$B$10),_xlfn.ANCHORARRAY( ControlPanel!$C$10))*Assumptions!$O$24</f>
        <v>3939473146.1857142</v>
      </c>
      <c r="N40" s="26">
        <f>SUMPRODUCT(C40:L40,DCF!R37:AA37)</f>
        <v>20123335220.418068</v>
      </c>
    </row>
    <row r="41" spans="2:14" x14ac:dyDescent="0.35">
      <c r="B41" s="6" t="s">
        <v>69</v>
      </c>
      <c r="C41" s="26">
        <f t="array" ref="C41">'Carbon_Emission&amp;Exposure'!G38*_xlfn.XLOOKUP(NPV_Output!C$8,_xlfn.ANCHORARRAY( ControlPanel!$B$10),_xlfn.ANCHORARRAY( ControlPanel!$C$10))*Assumptions!$O$24</f>
        <v>4094314856.3102713</v>
      </c>
      <c r="D41" s="26">
        <f t="array" ref="D41">'Carbon_Emission&amp;Exposure'!H38*_xlfn.XLOOKUP(NPV_Output!D$8,_xlfn.ANCHORARRAY( ControlPanel!$B$10),_xlfn.ANCHORARRAY( ControlPanel!$C$10))*Assumptions!$O$24</f>
        <v>5209328886.040329</v>
      </c>
      <c r="E41" s="26">
        <f t="array" ref="E41">'Carbon_Emission&amp;Exposure'!I38*_xlfn.XLOOKUP(NPV_Output!E$8,_xlfn.ANCHORARRAY( ControlPanel!$B$10),_xlfn.ANCHORARRAY( ControlPanel!$C$10))*Assumptions!$O$24</f>
        <v>5999399325.1147957</v>
      </c>
      <c r="F41" s="26">
        <f t="array" ref="F41">'Carbon_Emission&amp;Exposure'!J38*_xlfn.XLOOKUP(NPV_Output!F$8,_xlfn.ANCHORARRAY( ControlPanel!$B$10),_xlfn.ANCHORARRAY( ControlPanel!$C$10))*Assumptions!$O$24</f>
        <v>6807955689.4283314</v>
      </c>
      <c r="G41" s="26">
        <f t="array" ref="G41">'Carbon_Emission&amp;Exposure'!K38*_xlfn.XLOOKUP(NPV_Output!G$8,_xlfn.ANCHORARRAY( ControlPanel!$B$10),_xlfn.ANCHORARRAY( ControlPanel!$C$10))*Assumptions!$O$24</f>
        <v>7648703800.5612373</v>
      </c>
      <c r="H41" s="26">
        <f t="array" ref="H41">'Carbon_Emission&amp;Exposure'!L38*_xlfn.XLOOKUP(NPV_Output!H$8,_xlfn.ANCHORARRAY( ControlPanel!$B$10),_xlfn.ANCHORARRAY( ControlPanel!$C$10))*Assumptions!$O$24</f>
        <v>8552074944.6870089</v>
      </c>
      <c r="I41" s="26">
        <f t="array" ref="I41">'Carbon_Emission&amp;Exposure'!M38*_xlfn.XLOOKUP(NPV_Output!I$8,_xlfn.ANCHORARRAY( ControlPanel!$B$10),_xlfn.ANCHORARRAY( ControlPanel!$C$10))*Assumptions!$O$24</f>
        <v>9528723078.4646034</v>
      </c>
      <c r="J41" s="26">
        <f t="array" ref="J41">'Carbon_Emission&amp;Exposure'!N38*_xlfn.XLOOKUP(NPV_Output!J$8,_xlfn.ANCHORARRAY( ControlPanel!$B$10),_xlfn.ANCHORARRAY( ControlPanel!$C$10))*Assumptions!$O$24</f>
        <v>10581700221.59804</v>
      </c>
      <c r="K41" s="26">
        <f t="array" ref="K41">'Carbon_Emission&amp;Exposure'!O38*_xlfn.XLOOKUP(NPV_Output!K$8,_xlfn.ANCHORARRAY( ControlPanel!$B$10),_xlfn.ANCHORARRAY( ControlPanel!$C$10))*Assumptions!$O$24</f>
        <v>11724238595.653337</v>
      </c>
      <c r="L41" s="26">
        <f t="array" ref="L41">'Carbon_Emission&amp;Exposure'!P38*_xlfn.XLOOKUP(NPV_Output!L$8,_xlfn.ANCHORARRAY( ControlPanel!$B$10),_xlfn.ANCHORARRAY( ControlPanel!$C$10))*Assumptions!$O$24</f>
        <v>12964346005.50606</v>
      </c>
      <c r="N41" s="26">
        <f>SUMPRODUCT(C41:L41,DCF!R38:AA38)</f>
        <v>72033632795.29245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M42"/>
  <sheetViews>
    <sheetView zoomScale="58" workbookViewId="0">
      <selection activeCell="H8" sqref="H8"/>
    </sheetView>
  </sheetViews>
  <sheetFormatPr defaultColWidth="15.6328125" defaultRowHeight="14.5" x14ac:dyDescent="0.35"/>
  <cols>
    <col min="1" max="1" width="4.6328125" customWidth="1"/>
    <col min="2" max="2" width="25.6328125" customWidth="1"/>
  </cols>
  <sheetData>
    <row r="2" spans="2:13" s="1" customFormat="1" ht="18.5" customHeight="1" x14ac:dyDescent="0.5">
      <c r="B2" s="4" t="s">
        <v>117</v>
      </c>
    </row>
    <row r="4" spans="2:13" x14ac:dyDescent="0.35">
      <c r="B4" s="32" t="s">
        <v>118</v>
      </c>
      <c r="C4" s="29"/>
      <c r="D4" s="29"/>
    </row>
    <row r="6" spans="2:13" x14ac:dyDescent="0.35">
      <c r="B6" s="27" t="s">
        <v>119</v>
      </c>
      <c r="C6" s="27">
        <v>2025</v>
      </c>
      <c r="D6" s="27">
        <v>2030</v>
      </c>
      <c r="E6" s="27">
        <v>2035</v>
      </c>
      <c r="F6" s="27">
        <v>2040</v>
      </c>
      <c r="G6" s="27">
        <v>2045</v>
      </c>
      <c r="H6" s="27">
        <v>2050</v>
      </c>
      <c r="I6" s="27"/>
      <c r="J6" s="28"/>
      <c r="M6" s="8" t="s">
        <v>120</v>
      </c>
    </row>
    <row r="7" spans="2:13" x14ac:dyDescent="0.35">
      <c r="B7" s="27" t="s">
        <v>121</v>
      </c>
      <c r="C7" s="27">
        <v>449.3</v>
      </c>
      <c r="D7" s="27">
        <v>449.1</v>
      </c>
      <c r="E7" s="27">
        <v>448.2</v>
      </c>
      <c r="F7" s="27">
        <v>446.8</v>
      </c>
      <c r="G7" s="27">
        <v>444.5</v>
      </c>
      <c r="H7" s="27">
        <v>441.2</v>
      </c>
      <c r="I7" s="27"/>
      <c r="J7" s="27">
        <f>(DataSources!$D7/DataSources!$C7)^(1/5) - 1</f>
        <v>-8.9043231900509667E-5</v>
      </c>
      <c r="K7" s="27">
        <f t="shared" ref="K7:K13" si="0">($E7/$D7)^(1/5) - 1</f>
        <v>-4.0112327391272906E-4</v>
      </c>
      <c r="L7" s="27">
        <f t="shared" ref="L7:L13" si="1">($F7/$E7)^(1/5) - 1</f>
        <v>-6.2550312566089783E-4</v>
      </c>
      <c r="M7">
        <f t="shared" ref="M7:M13" si="2">(SUM($J7:$L7))/3</f>
        <v>-3.718898771580455E-4</v>
      </c>
    </row>
    <row r="8" spans="2:13" x14ac:dyDescent="0.35">
      <c r="B8" s="27" t="s">
        <v>122</v>
      </c>
      <c r="C8" s="27">
        <v>14018</v>
      </c>
      <c r="D8" s="27">
        <v>14814</v>
      </c>
      <c r="E8" s="27">
        <v>15743</v>
      </c>
      <c r="F8" s="27">
        <v>16898</v>
      </c>
      <c r="G8" s="27">
        <v>18147</v>
      </c>
      <c r="H8" s="27">
        <v>19466</v>
      </c>
      <c r="I8" s="27"/>
      <c r="J8" s="27">
        <f>(DataSources!$D8/DataSources!$C8)^(1/5) - 1</f>
        <v>1.1107325635494103E-2</v>
      </c>
      <c r="K8" s="27">
        <f t="shared" si="0"/>
        <v>1.2238918512639918E-2</v>
      </c>
      <c r="L8" s="27">
        <f t="shared" si="1"/>
        <v>1.4260616043172636E-2</v>
      </c>
      <c r="M8">
        <f t="shared" si="2"/>
        <v>1.2535620063768885E-2</v>
      </c>
    </row>
    <row r="9" spans="2:13" x14ac:dyDescent="0.35">
      <c r="B9" s="27" t="s">
        <v>123</v>
      </c>
      <c r="C9" s="27">
        <v>143865</v>
      </c>
      <c r="D9" s="27">
        <v>140216</v>
      </c>
      <c r="E9" s="27">
        <v>130225</v>
      </c>
      <c r="F9" s="27">
        <v>122840</v>
      </c>
      <c r="G9" s="27">
        <v>119772</v>
      </c>
      <c r="H9" s="27">
        <v>119491</v>
      </c>
      <c r="I9" s="27"/>
      <c r="J9" s="27">
        <f>(DataSources!$D9/DataSources!$C9)^(1/5) - 1</f>
        <v>-5.12507557001185E-3</v>
      </c>
      <c r="K9" s="27">
        <f t="shared" si="0"/>
        <v>-1.4675325585984944E-2</v>
      </c>
      <c r="L9" s="27">
        <f t="shared" si="1"/>
        <v>-1.1608303260536967E-2</v>
      </c>
      <c r="M9">
        <f t="shared" si="2"/>
        <v>-1.0469568138844587E-2</v>
      </c>
    </row>
    <row r="10" spans="2:13" x14ac:dyDescent="0.35">
      <c r="B10" s="27" t="s">
        <v>124</v>
      </c>
      <c r="C10" s="27">
        <v>6094</v>
      </c>
      <c r="D10" s="27">
        <v>6499</v>
      </c>
      <c r="E10" s="27">
        <v>6772</v>
      </c>
      <c r="F10" s="27">
        <v>7028</v>
      </c>
      <c r="G10" s="27">
        <v>7226</v>
      </c>
      <c r="H10" s="27">
        <v>7445</v>
      </c>
      <c r="I10" s="27"/>
      <c r="J10" s="27">
        <f>(DataSources!$D10/DataSources!$C10)^(1/5) - 1</f>
        <v>1.2951886077090968E-2</v>
      </c>
      <c r="K10" s="27">
        <f t="shared" si="0"/>
        <v>8.2635855549009207E-3</v>
      </c>
      <c r="L10" s="27">
        <f t="shared" si="1"/>
        <v>7.4487461236285579E-3</v>
      </c>
      <c r="M10">
        <f t="shared" si="2"/>
        <v>9.5547392518734817E-3</v>
      </c>
    </row>
    <row r="11" spans="2:13" x14ac:dyDescent="0.35">
      <c r="B11" s="27" t="s">
        <v>125</v>
      </c>
      <c r="C11" s="27">
        <v>2752</v>
      </c>
      <c r="D11" s="27">
        <v>3028</v>
      </c>
      <c r="E11" s="27">
        <v>3201</v>
      </c>
      <c r="F11" s="27">
        <v>3369</v>
      </c>
      <c r="G11" s="27">
        <v>3482</v>
      </c>
      <c r="H11" s="27">
        <v>3594</v>
      </c>
      <c r="I11" s="27"/>
      <c r="J11" s="27">
        <f>(DataSources!$D11/DataSources!$C11)^(1/5) - 1</f>
        <v>1.9298742091403032E-2</v>
      </c>
      <c r="K11" s="27">
        <f t="shared" si="0"/>
        <v>1.1174154737870978E-2</v>
      </c>
      <c r="L11" s="27">
        <f t="shared" si="1"/>
        <v>1.0283051587578695E-2</v>
      </c>
      <c r="M11">
        <f t="shared" si="2"/>
        <v>1.3585316138950901E-2</v>
      </c>
    </row>
    <row r="12" spans="2:13" x14ac:dyDescent="0.35">
      <c r="B12" s="27" t="s">
        <v>126</v>
      </c>
      <c r="C12" s="48">
        <v>2818292</v>
      </c>
      <c r="D12" s="48">
        <v>2995663</v>
      </c>
      <c r="E12" s="48">
        <v>3112109</v>
      </c>
      <c r="F12" s="48">
        <v>3212757</v>
      </c>
      <c r="G12" s="48">
        <v>3320124</v>
      </c>
      <c r="H12" s="48">
        <v>3420677</v>
      </c>
      <c r="I12" s="48"/>
      <c r="J12" s="48">
        <f>(DataSources!$D12/DataSources!$C12)^(1/5) - 1</f>
        <v>1.2281718069119485E-2</v>
      </c>
      <c r="K12" s="48">
        <f t="shared" si="0"/>
        <v>7.65617081423553E-3</v>
      </c>
      <c r="L12" s="48">
        <f t="shared" si="1"/>
        <v>6.3860676541747097E-3</v>
      </c>
      <c r="M12">
        <f t="shared" si="2"/>
        <v>8.7746521791765755E-3</v>
      </c>
    </row>
    <row r="13" spans="2:13" x14ac:dyDescent="0.35">
      <c r="B13" s="27" t="s">
        <v>127</v>
      </c>
      <c r="C13" s="48">
        <v>881547</v>
      </c>
      <c r="D13" s="48">
        <v>840011</v>
      </c>
      <c r="E13" s="48">
        <v>805784</v>
      </c>
      <c r="F13" s="48">
        <v>779009</v>
      </c>
      <c r="G13" s="48">
        <v>761206</v>
      </c>
      <c r="H13" s="48">
        <v>754383</v>
      </c>
      <c r="I13" s="48"/>
      <c r="J13" s="48">
        <f>(DataSources!$D13/DataSources!$C13)^(1/5) - 1</f>
        <v>-9.606228878455747E-3</v>
      </c>
      <c r="K13" s="48">
        <f t="shared" si="0"/>
        <v>-8.2853398926130417E-3</v>
      </c>
      <c r="L13" s="48">
        <f t="shared" si="1"/>
        <v>-6.735835359767961E-3</v>
      </c>
      <c r="M13">
        <f t="shared" si="2"/>
        <v>-8.2091347102789172E-3</v>
      </c>
    </row>
    <row r="14" spans="2:13" x14ac:dyDescent="0.35">
      <c r="C14" s="26"/>
      <c r="D14" s="26"/>
      <c r="E14" s="26"/>
      <c r="F14" s="26"/>
      <c r="G14" s="26"/>
      <c r="H14" s="26"/>
      <c r="I14" s="26"/>
      <c r="J14" s="26"/>
      <c r="K14" s="26"/>
      <c r="L14" s="26"/>
    </row>
    <row r="15" spans="2:13" x14ac:dyDescent="0.35">
      <c r="C15" s="26"/>
      <c r="D15" s="26"/>
      <c r="E15" s="26"/>
      <c r="F15" s="26"/>
      <c r="G15" s="26"/>
      <c r="H15" s="26"/>
      <c r="I15" s="26"/>
      <c r="J15" s="26"/>
      <c r="K15" s="26"/>
      <c r="L15" s="26"/>
    </row>
    <row r="16" spans="2:13" x14ac:dyDescent="0.35">
      <c r="B16" s="32" t="s">
        <v>41</v>
      </c>
      <c r="C16" s="26"/>
      <c r="D16" s="26"/>
      <c r="E16" s="26"/>
      <c r="F16" s="26"/>
      <c r="G16" s="26"/>
      <c r="H16" s="26"/>
      <c r="I16" s="26"/>
      <c r="J16" s="26"/>
      <c r="K16" s="26"/>
      <c r="L16" s="26"/>
    </row>
    <row r="17" spans="2:12" x14ac:dyDescent="0.35">
      <c r="C17" s="26"/>
      <c r="D17" s="26"/>
      <c r="E17" s="26"/>
      <c r="F17" s="26"/>
      <c r="G17" s="26"/>
      <c r="H17" s="26"/>
      <c r="I17" s="26"/>
      <c r="J17" s="26"/>
      <c r="K17" s="26"/>
      <c r="L17" s="26"/>
    </row>
    <row r="18" spans="2:12" x14ac:dyDescent="0.35">
      <c r="B18" t="s">
        <v>128</v>
      </c>
      <c r="C18" s="26" t="s">
        <v>129</v>
      </c>
      <c r="D18" s="26" t="s">
        <v>130</v>
      </c>
      <c r="E18" s="26"/>
      <c r="F18" s="26"/>
      <c r="G18" s="26"/>
      <c r="H18" s="26"/>
      <c r="I18" s="26"/>
      <c r="J18" s="26"/>
      <c r="K18" s="26"/>
      <c r="L18" s="26"/>
    </row>
    <row r="19" spans="2:12" x14ac:dyDescent="0.35">
      <c r="B19" s="6" t="s">
        <v>55</v>
      </c>
      <c r="C19" s="51">
        <v>1</v>
      </c>
      <c r="D19" s="26">
        <v>293170000000</v>
      </c>
      <c r="E19" s="31"/>
      <c r="F19" s="26"/>
      <c r="G19" s="26"/>
      <c r="H19" s="26"/>
      <c r="I19" s="26"/>
      <c r="J19" s="26"/>
      <c r="K19" s="26"/>
      <c r="L19" s="26"/>
    </row>
    <row r="20" spans="2:12" x14ac:dyDescent="0.35">
      <c r="B20" s="6" t="s">
        <v>56</v>
      </c>
      <c r="C20" s="51">
        <v>1</v>
      </c>
      <c r="D20" s="26">
        <v>38200000000</v>
      </c>
      <c r="E20" s="31"/>
      <c r="F20" s="26"/>
      <c r="G20" s="26"/>
      <c r="H20" s="26"/>
      <c r="I20" s="26"/>
      <c r="J20" s="26"/>
      <c r="K20" s="26"/>
      <c r="L20" s="26"/>
    </row>
    <row r="21" spans="2:12" x14ac:dyDescent="0.35">
      <c r="B21" s="6" t="s">
        <v>30</v>
      </c>
      <c r="C21" s="51">
        <v>1</v>
      </c>
      <c r="D21" s="26">
        <v>272470000000</v>
      </c>
      <c r="E21" s="31"/>
      <c r="F21" s="26"/>
      <c r="G21" s="26"/>
      <c r="H21" s="26"/>
      <c r="I21" s="26"/>
      <c r="J21" s="26"/>
      <c r="K21" s="26"/>
      <c r="L21" s="26"/>
    </row>
    <row r="22" spans="2:12" x14ac:dyDescent="0.35">
      <c r="B22" s="6" t="s">
        <v>57</v>
      </c>
      <c r="C22" s="51">
        <v>1</v>
      </c>
      <c r="D22" s="26">
        <v>341200000000</v>
      </c>
      <c r="E22" s="31"/>
      <c r="F22" s="26"/>
      <c r="G22" s="26"/>
      <c r="H22" s="26"/>
      <c r="I22" s="26"/>
      <c r="J22" s="26"/>
      <c r="K22" s="26"/>
      <c r="L22" s="26"/>
    </row>
    <row r="23" spans="2:12" x14ac:dyDescent="0.35">
      <c r="B23" s="6" t="s">
        <v>58</v>
      </c>
      <c r="C23" s="51">
        <v>1</v>
      </c>
      <c r="D23" s="26">
        <v>116030000000</v>
      </c>
      <c r="E23" s="31"/>
      <c r="F23" s="26"/>
      <c r="G23" s="26"/>
      <c r="H23" s="26"/>
      <c r="I23" s="26"/>
      <c r="J23" s="26"/>
      <c r="K23" s="26"/>
      <c r="L23" s="26"/>
    </row>
    <row r="24" spans="2:12" x14ac:dyDescent="0.35">
      <c r="B24" s="6" t="s">
        <v>31</v>
      </c>
      <c r="C24" s="51">
        <v>1</v>
      </c>
      <c r="D24" s="26">
        <v>47860000000</v>
      </c>
      <c r="E24" s="31"/>
      <c r="F24" s="26"/>
      <c r="G24" s="26"/>
      <c r="H24" s="26"/>
      <c r="I24" s="26"/>
      <c r="J24" s="26"/>
      <c r="K24" s="26"/>
      <c r="L24" s="26"/>
    </row>
    <row r="25" spans="2:12" x14ac:dyDescent="0.35">
      <c r="B25" s="6" t="s">
        <v>59</v>
      </c>
      <c r="C25" s="51">
        <v>1</v>
      </c>
      <c r="D25" s="26">
        <v>99750000000</v>
      </c>
      <c r="E25" s="31"/>
      <c r="F25" s="26"/>
      <c r="G25" s="26"/>
      <c r="H25" s="26"/>
      <c r="I25" s="26"/>
      <c r="J25" s="26"/>
      <c r="K25" s="26"/>
      <c r="L25" s="26"/>
    </row>
    <row r="26" spans="2:12" x14ac:dyDescent="0.35">
      <c r="B26" s="6" t="s">
        <v>60</v>
      </c>
      <c r="C26" s="51">
        <v>0.5</v>
      </c>
      <c r="D26" s="26">
        <v>25640000000</v>
      </c>
      <c r="E26" s="31"/>
      <c r="F26" s="26"/>
      <c r="G26" s="26"/>
      <c r="H26" s="26"/>
      <c r="I26" s="26"/>
      <c r="J26" s="26"/>
      <c r="K26" s="26"/>
      <c r="L26" s="26"/>
    </row>
    <row r="27" spans="2:12" x14ac:dyDescent="0.35">
      <c r="B27" s="6" t="s">
        <v>61</v>
      </c>
      <c r="C27" s="51">
        <v>0.5</v>
      </c>
      <c r="D27" s="26">
        <v>144480000000</v>
      </c>
      <c r="E27" s="31"/>
      <c r="F27" s="26"/>
      <c r="G27" s="26"/>
      <c r="H27" s="26"/>
      <c r="I27" s="26"/>
      <c r="J27" s="26"/>
      <c r="K27" s="26"/>
      <c r="L27" s="26"/>
    </row>
    <row r="28" spans="2:12" x14ac:dyDescent="0.35">
      <c r="B28" s="6" t="s">
        <v>32</v>
      </c>
      <c r="C28" s="51">
        <v>0.5</v>
      </c>
      <c r="D28" s="26">
        <v>453830000000</v>
      </c>
      <c r="E28" s="31"/>
      <c r="F28" s="26"/>
      <c r="G28" s="26"/>
      <c r="H28" s="26"/>
      <c r="I28" s="26"/>
      <c r="J28" s="26"/>
      <c r="K28" s="26"/>
      <c r="L28" s="26"/>
    </row>
    <row r="29" spans="2:12" x14ac:dyDescent="0.35">
      <c r="B29" s="50" t="s">
        <v>131</v>
      </c>
      <c r="C29" s="51">
        <v>0</v>
      </c>
      <c r="E29" s="26"/>
      <c r="F29" s="26"/>
      <c r="G29" s="26"/>
      <c r="H29" s="26"/>
      <c r="I29" s="26"/>
      <c r="J29" s="26"/>
      <c r="K29" s="26"/>
      <c r="L29" s="26"/>
    </row>
    <row r="30" spans="2:12" x14ac:dyDescent="0.35">
      <c r="B30" s="6" t="s">
        <v>132</v>
      </c>
      <c r="C30" s="51">
        <v>1</v>
      </c>
      <c r="E30" s="26"/>
      <c r="F30" s="26"/>
      <c r="G30" s="26"/>
      <c r="H30" s="26"/>
      <c r="I30" s="26"/>
      <c r="J30" s="26"/>
      <c r="K30" s="26"/>
      <c r="L30" s="26"/>
    </row>
    <row r="31" spans="2:12" x14ac:dyDescent="0.35">
      <c r="B31" s="6" t="s">
        <v>63</v>
      </c>
      <c r="C31" s="51">
        <v>1</v>
      </c>
      <c r="D31" s="26">
        <v>469510000</v>
      </c>
      <c r="E31" s="26"/>
      <c r="F31" s="26"/>
      <c r="G31" s="26"/>
      <c r="H31" s="26"/>
      <c r="I31" s="26"/>
      <c r="J31" s="26"/>
      <c r="K31" s="26"/>
      <c r="L31" s="26"/>
    </row>
    <row r="32" spans="2:12" x14ac:dyDescent="0.35">
      <c r="B32" s="6" t="s">
        <v>64</v>
      </c>
      <c r="C32" s="51">
        <v>1</v>
      </c>
      <c r="D32" s="26">
        <v>54430000000</v>
      </c>
      <c r="E32" s="26"/>
      <c r="F32" s="26"/>
      <c r="G32" s="26"/>
      <c r="H32" s="26"/>
      <c r="I32" s="26"/>
      <c r="J32" s="26"/>
      <c r="K32" s="26"/>
      <c r="L32" s="26"/>
    </row>
    <row r="33" spans="2:12" x14ac:dyDescent="0.35">
      <c r="B33" s="6" t="s">
        <v>65</v>
      </c>
      <c r="C33" s="51">
        <v>0.5</v>
      </c>
      <c r="D33" s="26">
        <v>17150000000</v>
      </c>
      <c r="E33" s="26"/>
      <c r="F33" s="26"/>
      <c r="G33" s="26"/>
      <c r="H33" s="26"/>
      <c r="I33" s="26"/>
      <c r="J33" s="26"/>
      <c r="K33" s="26"/>
      <c r="L33" s="26"/>
    </row>
    <row r="34" spans="2:12" x14ac:dyDescent="0.35">
      <c r="B34" s="6" t="s">
        <v>34</v>
      </c>
      <c r="C34" s="51">
        <v>0.5</v>
      </c>
      <c r="D34" s="26">
        <v>4090000000</v>
      </c>
      <c r="E34" s="26"/>
      <c r="F34" s="26"/>
      <c r="G34" s="26"/>
      <c r="H34" s="26"/>
      <c r="I34" s="26"/>
      <c r="J34" s="26"/>
      <c r="K34" s="26"/>
      <c r="L34" s="26"/>
    </row>
    <row r="35" spans="2:12" x14ac:dyDescent="0.35">
      <c r="B35" s="6" t="s">
        <v>36</v>
      </c>
      <c r="C35" s="51">
        <v>0.5</v>
      </c>
      <c r="D35" s="26">
        <v>24670000000</v>
      </c>
      <c r="E35" s="26"/>
      <c r="F35" s="26"/>
      <c r="G35" s="26"/>
      <c r="H35" s="26"/>
      <c r="I35" s="26"/>
      <c r="J35" s="26"/>
      <c r="K35" s="26"/>
      <c r="L35" s="26"/>
    </row>
    <row r="36" spans="2:12" x14ac:dyDescent="0.35">
      <c r="B36" s="6" t="s">
        <v>35</v>
      </c>
      <c r="C36" s="51">
        <v>0</v>
      </c>
      <c r="D36" s="26">
        <v>15680000000</v>
      </c>
      <c r="E36" s="26"/>
      <c r="F36" s="26"/>
      <c r="G36" s="26"/>
      <c r="H36" s="26"/>
      <c r="I36" s="26"/>
      <c r="J36" s="26"/>
      <c r="K36" s="26"/>
      <c r="L36" s="26"/>
    </row>
    <row r="37" spans="2:12" x14ac:dyDescent="0.35">
      <c r="B37" s="6" t="s">
        <v>37</v>
      </c>
      <c r="C37" s="51">
        <v>1</v>
      </c>
      <c r="D37">
        <v>126280000000</v>
      </c>
      <c r="E37" s="26"/>
      <c r="F37" s="26"/>
      <c r="G37" s="26"/>
      <c r="H37" s="26"/>
      <c r="I37" s="26"/>
      <c r="J37" s="26"/>
      <c r="K37" s="26"/>
      <c r="L37" s="26"/>
    </row>
    <row r="38" spans="2:12" x14ac:dyDescent="0.35">
      <c r="B38" s="6" t="s">
        <v>67</v>
      </c>
      <c r="C38" s="51">
        <v>1</v>
      </c>
      <c r="D38">
        <v>12560000000</v>
      </c>
      <c r="E38" s="26"/>
      <c r="F38" s="26"/>
      <c r="G38" s="26"/>
      <c r="H38" s="26"/>
      <c r="I38" s="26"/>
      <c r="J38" s="26"/>
      <c r="K38" s="26"/>
      <c r="L38" s="26"/>
    </row>
    <row r="39" spans="2:12" x14ac:dyDescent="0.35">
      <c r="B39" s="6" t="s">
        <v>40</v>
      </c>
      <c r="C39" s="51">
        <v>0.5</v>
      </c>
      <c r="D39">
        <v>67300000000</v>
      </c>
      <c r="E39" s="26"/>
      <c r="F39" s="26"/>
      <c r="G39" s="26"/>
      <c r="H39" s="26"/>
      <c r="I39" s="26"/>
      <c r="J39" s="26"/>
      <c r="K39" s="26"/>
      <c r="L39" s="26"/>
    </row>
    <row r="40" spans="2:12" x14ac:dyDescent="0.35">
      <c r="B40" s="6" t="s">
        <v>39</v>
      </c>
      <c r="C40" s="51">
        <v>0</v>
      </c>
      <c r="D40">
        <v>118520000000</v>
      </c>
      <c r="E40" s="26"/>
      <c r="F40" s="26"/>
      <c r="G40" s="26"/>
      <c r="H40" s="26"/>
      <c r="I40" s="26"/>
      <c r="J40" s="26"/>
      <c r="K40" s="26"/>
      <c r="L40" s="26"/>
    </row>
    <row r="41" spans="2:12" x14ac:dyDescent="0.35">
      <c r="B41" s="6" t="s">
        <v>68</v>
      </c>
      <c r="C41" s="51">
        <v>1</v>
      </c>
      <c r="D41">
        <v>23060000000</v>
      </c>
      <c r="E41" s="26"/>
      <c r="F41" s="26"/>
      <c r="G41" s="26"/>
      <c r="H41" s="26"/>
      <c r="I41" s="26"/>
      <c r="J41" s="26"/>
      <c r="K41" s="26"/>
      <c r="L41" s="26"/>
    </row>
    <row r="42" spans="2:12" x14ac:dyDescent="0.35">
      <c r="B42" s="6" t="s">
        <v>69</v>
      </c>
      <c r="C42" s="51">
        <v>0</v>
      </c>
      <c r="D42">
        <v>172720000000</v>
      </c>
    </row>
  </sheetData>
  <dataValidations count="1">
    <dataValidation allowBlank="1" showInputMessage="1" showErrorMessage="1" prompt="2x Target Set : 0 ; 1x Target Set &amp; Commited or None : 0,5 ; 2x Committed or None : 0" sqref="C18" xr:uid="{00000000-0002-0000-0700-000000000000}"/>
  </dataValidations>
  <hyperlinks>
    <hyperlink ref="B4" r:id="rId1" xr:uid="{00000000-0004-0000-0700-000000000000}"/>
    <hyperlink ref="B16" r:id="rId2" xr:uid="{00000000-0004-0000-0700-000001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2"/>
  <sheetViews>
    <sheetView workbookViewId="0"/>
  </sheetViews>
  <sheetFormatPr defaultRowHeight="14.5" x14ac:dyDescent="0.35"/>
  <sheetData>
    <row r="1" spans="1:2" x14ac:dyDescent="0.35">
      <c r="A1" t="s">
        <v>1</v>
      </c>
      <c r="B1" s="33" t="s">
        <v>133</v>
      </c>
    </row>
    <row r="2" spans="1:2" x14ac:dyDescent="0.35">
      <c r="A2">
        <v>2005</v>
      </c>
      <c r="B2">
        <v>19.04973</v>
      </c>
    </row>
    <row r="3" spans="1:2" x14ac:dyDescent="0.35">
      <c r="A3">
        <v>2006</v>
      </c>
      <c r="B3">
        <v>32.353991999999998</v>
      </c>
    </row>
    <row r="4" spans="1:2" x14ac:dyDescent="0.35">
      <c r="A4">
        <v>2007</v>
      </c>
      <c r="B4">
        <v>1.251892</v>
      </c>
    </row>
    <row r="5" spans="1:2" x14ac:dyDescent="0.35">
      <c r="A5">
        <v>2008</v>
      </c>
      <c r="B5">
        <v>34.483319999999999</v>
      </c>
    </row>
    <row r="6" spans="1:2" x14ac:dyDescent="0.35">
      <c r="A6">
        <v>2009</v>
      </c>
      <c r="B6">
        <v>15.550803999999999</v>
      </c>
    </row>
    <row r="7" spans="1:2" x14ac:dyDescent="0.35">
      <c r="A7">
        <v>2010</v>
      </c>
      <c r="B7">
        <v>17.265975999999998</v>
      </c>
    </row>
    <row r="8" spans="1:2" x14ac:dyDescent="0.35">
      <c r="A8">
        <v>2011</v>
      </c>
      <c r="B8">
        <v>23.756879999999999</v>
      </c>
    </row>
    <row r="9" spans="1:2" x14ac:dyDescent="0.35">
      <c r="A9">
        <v>2012</v>
      </c>
      <c r="B9">
        <v>9.3224879999999999</v>
      </c>
    </row>
    <row r="10" spans="1:2" x14ac:dyDescent="0.35">
      <c r="A10">
        <v>2013</v>
      </c>
      <c r="B10">
        <v>6.0439600000000002</v>
      </c>
    </row>
    <row r="11" spans="1:2" x14ac:dyDescent="0.35">
      <c r="A11">
        <v>2014</v>
      </c>
      <c r="B11">
        <v>6.7571000000000003</v>
      </c>
    </row>
    <row r="12" spans="1:2" x14ac:dyDescent="0.35">
      <c r="A12">
        <v>2015</v>
      </c>
      <c r="B12">
        <v>7.6898249999999999</v>
      </c>
    </row>
    <row r="13" spans="1:2" x14ac:dyDescent="0.35">
      <c r="A13">
        <v>2016</v>
      </c>
      <c r="B13">
        <v>5.9217760000000004</v>
      </c>
    </row>
    <row r="14" spans="1:2" x14ac:dyDescent="0.35">
      <c r="A14">
        <v>2017</v>
      </c>
      <c r="B14">
        <v>5.6448479999999996</v>
      </c>
    </row>
    <row r="15" spans="1:2" x14ac:dyDescent="0.35">
      <c r="A15">
        <v>2018</v>
      </c>
      <c r="B15">
        <v>16.263719999999999</v>
      </c>
    </row>
    <row r="16" spans="1:2" x14ac:dyDescent="0.35">
      <c r="A16">
        <v>2019</v>
      </c>
      <c r="B16">
        <v>24.505716</v>
      </c>
    </row>
    <row r="17" spans="1:2" x14ac:dyDescent="0.35">
      <c r="A17">
        <v>2020</v>
      </c>
      <c r="B17">
        <v>18.536519999999999</v>
      </c>
    </row>
    <row r="18" spans="1:2" x14ac:dyDescent="0.35">
      <c r="A18">
        <v>2021</v>
      </c>
      <c r="B18">
        <v>49.779547999999998</v>
      </c>
    </row>
    <row r="19" spans="1:2" x14ac:dyDescent="0.35">
      <c r="A19">
        <v>2022</v>
      </c>
      <c r="B19">
        <v>86.526107999999994</v>
      </c>
    </row>
    <row r="20" spans="1:2" x14ac:dyDescent="0.35">
      <c r="A20">
        <v>2023</v>
      </c>
      <c r="B20">
        <v>96.298124999999999</v>
      </c>
    </row>
    <row r="21" spans="1:2" x14ac:dyDescent="0.35">
      <c r="A21">
        <v>2024</v>
      </c>
      <c r="B21">
        <v>61.301546999999999</v>
      </c>
    </row>
    <row r="22" spans="1:2" x14ac:dyDescent="0.35">
      <c r="A22">
        <v>2025</v>
      </c>
      <c r="B22">
        <v>70.370124000000004</v>
      </c>
    </row>
  </sheetData>
  <hyperlinks>
    <hyperlink ref="B1" r:id="rId1" xr:uid="{00000000-0004-0000-08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Cover</vt:lpstr>
      <vt:lpstr>MC_SIM_OUT</vt:lpstr>
      <vt:lpstr>Assumptions</vt:lpstr>
      <vt:lpstr>ControlPanel</vt:lpstr>
      <vt:lpstr>Carbon_Emission&amp;Exposure</vt:lpstr>
      <vt:lpstr>DCF</vt:lpstr>
      <vt:lpstr>NPV_Output</vt:lpstr>
      <vt:lpstr>DataSources</vt:lpstr>
      <vt:lpstr>EUA_Historical_Prices</vt:lpstr>
      <vt:lpstr>tbl_MC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Paulian Oprescu | AVERTIM</dc:creator>
  <cp:lastModifiedBy>Paulian Oprescu | AVERTIM</cp:lastModifiedBy>
  <dcterms:created xsi:type="dcterms:W3CDTF">2026-01-22T09:24:00Z</dcterms:created>
  <dcterms:modified xsi:type="dcterms:W3CDTF">2026-01-30T14:52:42Z</dcterms:modified>
</cp:coreProperties>
</file>